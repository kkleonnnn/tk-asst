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参数配置" sheetId="2" state="visible" r:id="rId4"/>
    <sheet name="SKU主表" sheetId="3" state="visible" r:id="rId5"/>
    <sheet name="选品打分" sheetId="4" state="visible" r:id="rId6"/>
    <sheet name="利润计算" sheetId="5" state="visible" r:id="rId7"/>
    <sheet name="商品四象限分层" sheetId="6" state="visible" r:id="rId8"/>
    <sheet name="达人邀约话术" sheetId="7" state="visible" r:id="rId9"/>
    <sheet name="客服FAQ+自动回复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TK工作台</author>
  </authors>
  <commentList>
    <comment ref="B5" authorId="0">
      <text>
        <r>
          <rPr>
            <sz val="10"/>
            <rFont val="Arial Unicode MS"/>
            <family val="2"/>
          </rPr>
          <t xml:space="preserve">进货价</t>
        </r>
        <r>
          <rPr>
            <sz val="10"/>
            <rFont val="Arial"/>
            <family val="2"/>
          </rPr>
          <t xml:space="preserve">RMB ÷ </t>
        </r>
        <r>
          <rPr>
            <sz val="10"/>
            <rFont val="Arial Unicode MS"/>
            <family val="2"/>
          </rPr>
          <t xml:space="preserve">本汇率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Arial Unicode MS"/>
            <family val="2"/>
          </rPr>
          <t xml:space="preserve">进货成本</t>
        </r>
        <r>
          <rPr>
            <sz val="10"/>
            <rFont val="Arial"/>
            <family val="2"/>
          </rPr>
          <t xml:space="preserve">MYR</t>
        </r>
        <r>
          <rPr>
            <sz val="10"/>
            <rFont val="Arial Unicode MS"/>
            <family val="2"/>
          </rPr>
          <t xml:space="preserve">。汇率波动时只改这一格。</t>
        </r>
      </text>
    </comment>
    <comment ref="B6" authorId="0">
      <text>
        <r>
          <rPr>
            <sz val="10"/>
            <rFont val="Arial"/>
            <family val="2"/>
          </rPr>
          <t xml:space="preserve">8.46% = </t>
        </r>
        <r>
          <rPr>
            <sz val="10"/>
            <rFont val="Arial Unicode MS"/>
            <family val="2"/>
          </rPr>
          <t xml:space="preserve">某类目佣金示例值，非额外费项（不与佣金叠加）。利润计算 </t>
        </r>
        <r>
          <rPr>
            <sz val="10"/>
            <rFont val="Arial"/>
            <family val="2"/>
          </rPr>
          <t xml:space="preserve">H </t>
        </r>
        <r>
          <rPr>
            <sz val="10"/>
            <rFont val="Arial Unicode MS"/>
            <family val="2"/>
          </rPr>
          <t xml:space="preserve">列默认引用此格，可逐行改成该品实际费率。</t>
        </r>
      </text>
    </comment>
    <comment ref="B7" authorId="0">
      <text>
        <r>
          <rPr>
            <sz val="10"/>
            <rFont val="Arial Unicode MS"/>
            <family val="2"/>
          </rPr>
          <t xml:space="preserve">售价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Arial Unicode MS"/>
            <family val="2"/>
          </rPr>
          <t xml:space="preserve">本费率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Arial Unicode MS"/>
            <family val="2"/>
          </rPr>
          <t xml:space="preserve">交易手续费。</t>
        </r>
      </text>
    </comment>
    <comment ref="B8" authorId="0">
      <text>
        <r>
          <rPr>
            <sz val="10"/>
            <rFont val="Arial Unicode MS"/>
            <family val="2"/>
          </rPr>
          <t xml:space="preserve">每单固定费，不随售价变。</t>
        </r>
      </text>
    </comment>
    <comment ref="B10" authorId="0">
      <text>
        <r>
          <rPr>
            <sz val="10"/>
            <rFont val="Arial Unicode MS"/>
            <family val="2"/>
          </rPr>
          <t xml:space="preserve">售价≤上限时：售价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Arial Unicode MS"/>
            <family val="2"/>
          </rPr>
          <t xml:space="preserve">本率；超上限不计 </t>
        </r>
        <r>
          <rPr>
            <sz val="10"/>
            <rFont val="Arial"/>
            <family val="2"/>
          </rPr>
          <t xml:space="preserve">LVG</t>
        </r>
        <r>
          <rPr>
            <sz val="10"/>
            <rFont val="Arial Unicode MS"/>
            <family val="2"/>
          </rPr>
          <t xml:space="preserve">（需走常规进口，利润表会提示）。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TK工作台</author>
  </authors>
  <commentList>
    <comment ref="N3" authorId="0">
      <text>
        <r>
          <rPr>
            <sz val="10"/>
            <rFont val="Arial Unicode MS"/>
            <family val="2"/>
          </rPr>
          <t xml:space="preserve">权重合计应</t>
        </r>
        <r>
          <rPr>
            <sz val="10"/>
            <rFont val="Arial"/>
            <family val="2"/>
          </rPr>
          <t xml:space="preserve">=100%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TK工作台</author>
  </authors>
  <commentList>
    <comment ref="H4" authorId="0">
      <text>
        <r>
          <rPr>
            <sz val="10"/>
            <rFont val="Arial Unicode MS"/>
            <family val="2"/>
          </rPr>
          <t xml:space="preserve">默认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Arial Unicode MS"/>
            <family val="2"/>
          </rPr>
          <t xml:space="preserve">参数配置类目佣金率；某品类费率不同就直接在此格改成该品率。</t>
        </r>
      </text>
    </comment>
  </commentList>
</comments>
</file>

<file path=xl/sharedStrings.xml><?xml version="1.0" encoding="utf-8"?>
<sst xmlns="http://schemas.openxmlformats.org/spreadsheetml/2006/main" count="604" uniqueCount="362">
  <si>
    <r>
      <rPr>
        <b val="true"/>
        <sz val="14"/>
        <color rgb="FFFFFFFF"/>
        <rFont val="Arial Unicode MS"/>
        <family val="2"/>
      </rPr>
      <t xml:space="preserve">运营工作台 </t>
    </r>
    <r>
      <rPr>
        <b val="true"/>
        <sz val="14"/>
        <color rgb="FFFFFFFF"/>
        <rFont val="PingFang SC"/>
        <family val="0"/>
        <charset val="1"/>
      </rPr>
      <t xml:space="preserve">· </t>
    </r>
    <r>
      <rPr>
        <b val="true"/>
        <sz val="14"/>
        <color rgb="FFFFFFFF"/>
        <rFont val="Arial Unicode MS"/>
        <family val="2"/>
      </rPr>
      <t xml:space="preserve">使用说明</t>
    </r>
  </si>
  <si>
    <r>
      <rPr>
        <i val="true"/>
        <sz val="9"/>
        <color rgb="FF404040"/>
        <rFont val="Arial Unicode MS"/>
        <family val="2"/>
      </rPr>
      <t xml:space="preserve">本工作簿是『模板』。规则源</t>
    </r>
    <r>
      <rPr>
        <i val="true"/>
        <sz val="9"/>
        <color rgb="FF404040"/>
        <rFont val="PingFang SC"/>
        <family val="0"/>
        <charset val="1"/>
      </rPr>
      <t xml:space="preserve">=templates/</t>
    </r>
    <r>
      <rPr>
        <i val="true"/>
        <sz val="9"/>
        <color rgb="FF404040"/>
        <rFont val="Arial Unicode MS"/>
        <family val="2"/>
      </rPr>
      <t xml:space="preserve">运营工作台</t>
    </r>
    <r>
      <rPr>
        <i val="true"/>
        <sz val="9"/>
        <color rgb="FF404040"/>
        <rFont val="PingFang SC"/>
        <family val="0"/>
        <charset val="1"/>
      </rPr>
      <t xml:space="preserve">-</t>
    </r>
    <r>
      <rPr>
        <i val="true"/>
        <sz val="9"/>
        <color rgb="FF404040"/>
        <rFont val="Arial Unicode MS"/>
        <family val="2"/>
      </rPr>
      <t xml:space="preserve">规格与规则源</t>
    </r>
    <r>
      <rPr>
        <i val="true"/>
        <sz val="9"/>
        <color rgb="FF404040"/>
        <rFont val="PingFang SC"/>
        <family val="0"/>
        <charset val="1"/>
      </rPr>
      <t xml:space="preserve">.md</t>
    </r>
    <r>
      <rPr>
        <i val="true"/>
        <sz val="9"/>
        <color rgb="FF404040"/>
        <rFont val="Arial Unicode MS"/>
        <family val="2"/>
      </rPr>
      <t xml:space="preserve">；真实店铺数据请复制为本地工作副本填写，不要提交 </t>
    </r>
    <r>
      <rPr>
        <i val="true"/>
        <sz val="9"/>
        <color rgb="FF404040"/>
        <rFont val="PingFang SC"/>
        <family val="0"/>
        <charset val="1"/>
      </rPr>
      <t xml:space="preserve">git</t>
    </r>
    <r>
      <rPr>
        <i val="true"/>
        <sz val="9"/>
        <color rgb="FF404040"/>
        <rFont val="Arial Unicode MS"/>
        <family val="2"/>
      </rPr>
      <t xml:space="preserve">。</t>
    </r>
  </si>
  <si>
    <t xml:space="preserve">① 第一步</t>
  </si>
  <si>
    <r>
      <rPr>
        <sz val="10"/>
        <color rgb="FF000000"/>
        <rFont val="Arial Unicode MS"/>
        <family val="2"/>
      </rPr>
      <t xml:space="preserve">复制本模板为你的工作副本（放本地、勿提交 </t>
    </r>
    <r>
      <rPr>
        <sz val="10"/>
        <color rgb="FF000000"/>
        <rFont val="PingFang SC"/>
        <family val="0"/>
        <charset val="1"/>
      </rPr>
      <t xml:space="preserve">git</t>
    </r>
    <r>
      <rPr>
        <sz val="10"/>
        <color rgb="FF000000"/>
        <rFont val="Arial Unicode MS"/>
        <family val="2"/>
      </rPr>
      <t xml:space="preserve">，含真实店铺数据 </t>
    </r>
    <r>
      <rPr>
        <sz val="10"/>
        <color rgb="FF000000"/>
        <rFont val="PingFang SC"/>
        <family val="0"/>
        <charset val="1"/>
      </rPr>
      <t xml:space="preserve">+ </t>
    </r>
    <r>
      <rPr>
        <sz val="10"/>
        <color rgb="FF000000"/>
        <rFont val="Arial Unicode MS"/>
        <family val="2"/>
      </rPr>
      <t xml:space="preserve">频繁变动）。在副本里填数据、做运营。</t>
    </r>
  </si>
  <si>
    <t xml:space="preserve">② 使用流程</t>
  </si>
  <si>
    <r>
      <rPr>
        <sz val="10"/>
        <color rgb="FF000000"/>
        <rFont val="PingFang SC"/>
        <family val="0"/>
        <charset val="1"/>
      </rPr>
      <t xml:space="preserve">SKU</t>
    </r>
    <r>
      <rPr>
        <sz val="10"/>
        <color rgb="FF000000"/>
        <rFont val="Arial Unicode MS"/>
        <family val="2"/>
      </rPr>
      <t xml:space="preserve">主表 录候选 → 选品打分 排序选出 </t>
    </r>
    <r>
      <rPr>
        <sz val="10"/>
        <color rgb="FF000000"/>
        <rFont val="PingFang SC"/>
        <family val="0"/>
        <charset val="1"/>
      </rPr>
      <t xml:space="preserve">Top → </t>
    </r>
    <r>
      <rPr>
        <sz val="10"/>
        <color rgb="FF000000"/>
        <rFont val="Arial Unicode MS"/>
        <family val="2"/>
      </rPr>
      <t xml:space="preserve">选中的进 利润计算 试价（看『保本价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达标价红线』）→ 上架 → 商品四象限分层 回填漏斗数据复盘 → 回 </t>
    </r>
    <r>
      <rPr>
        <sz val="10"/>
        <color rgb="FF000000"/>
        <rFont val="PingFang SC"/>
        <family val="0"/>
        <charset val="1"/>
      </rPr>
      <t xml:space="preserve">SKU</t>
    </r>
    <r>
      <rPr>
        <sz val="10"/>
        <color rgb="FF000000"/>
        <rFont val="Arial Unicode MS"/>
        <family val="2"/>
      </rPr>
      <t xml:space="preserve">主表 迭代状态。</t>
    </r>
  </si>
  <si>
    <r>
      <rPr>
        <b val="true"/>
        <sz val="10"/>
        <color rgb="FF000000"/>
        <rFont val="Arial Unicode MS"/>
        <family val="2"/>
      </rPr>
      <t xml:space="preserve">③ 改费率</t>
    </r>
    <r>
      <rPr>
        <b val="true"/>
        <sz val="10"/>
        <color rgb="FF000000"/>
        <rFont val="PingFang SC"/>
        <family val="0"/>
        <charset val="1"/>
      </rPr>
      <t xml:space="preserve">/</t>
    </r>
    <r>
      <rPr>
        <b val="true"/>
        <sz val="10"/>
        <color rgb="FF000000"/>
        <rFont val="Arial Unicode MS"/>
        <family val="2"/>
      </rPr>
      <t xml:space="preserve">税</t>
    </r>
    <r>
      <rPr>
        <b val="true"/>
        <sz val="10"/>
        <color rgb="FF000000"/>
        <rFont val="PingFang SC"/>
        <family val="0"/>
        <charset val="1"/>
      </rPr>
      <t xml:space="preserve">/</t>
    </r>
    <r>
      <rPr>
        <b val="true"/>
        <sz val="10"/>
        <color rgb="FF000000"/>
        <rFont val="Arial Unicode MS"/>
        <family val="2"/>
      </rPr>
      <t xml:space="preserve">阈值</t>
    </r>
  </si>
  <si>
    <r>
      <rPr>
        <sz val="10"/>
        <color rgb="FF000000"/>
        <rFont val="Arial Unicode MS"/>
        <family val="2"/>
      </rPr>
      <t xml:space="preserve">只改『参数配置』一处，其余 </t>
    </r>
    <r>
      <rPr>
        <sz val="10"/>
        <color rgb="FF000000"/>
        <rFont val="PingFang SC"/>
        <family val="0"/>
        <charset val="1"/>
      </rPr>
      <t xml:space="preserve">sheet </t>
    </r>
    <r>
      <rPr>
        <sz val="10"/>
        <color rgb="FF000000"/>
        <rFont val="Arial Unicode MS"/>
        <family val="2"/>
      </rPr>
      <t xml:space="preserve">自动联动。每个数值旁注『以官方后台为准 </t>
    </r>
    <r>
      <rPr>
        <sz val="10"/>
        <color rgb="FF000000"/>
        <rFont val="PingFang SC"/>
        <family val="0"/>
        <charset val="1"/>
      </rPr>
      <t xml:space="preserve">+ </t>
    </r>
    <r>
      <rPr>
        <sz val="10"/>
        <color rgb="FF000000"/>
        <rFont val="Arial Unicode MS"/>
        <family val="2"/>
      </rPr>
      <t xml:space="preserve">核对日期』，请按当期后台核对后更新。</t>
    </r>
  </si>
  <si>
    <t xml:space="preserve">④ 一票否决</t>
  </si>
  <si>
    <r>
      <rPr>
        <sz val="10"/>
        <color rgb="FF000000"/>
        <rFont val="Arial Unicode MS"/>
        <family val="2"/>
      </rPr>
      <t xml:space="preserve">禁售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需资质未备 </t>
    </r>
    <r>
      <rPr>
        <sz val="10"/>
        <color rgb="FF000000"/>
        <rFont val="PingFang SC"/>
        <family val="0"/>
        <charset val="1"/>
      </rPr>
      <t xml:space="preserve">/ IP</t>
    </r>
    <r>
      <rPr>
        <sz val="10"/>
        <color rgb="FF000000"/>
        <rFont val="Arial Unicode MS"/>
        <family val="2"/>
      </rPr>
      <t xml:space="preserve">无授权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带球队</t>
    </r>
    <r>
      <rPr>
        <sz val="10"/>
        <color rgb="FF000000"/>
        <rFont val="PingFang SC"/>
        <family val="0"/>
        <charset val="1"/>
      </rPr>
      <t xml:space="preserve">logo → </t>
    </r>
    <r>
      <rPr>
        <sz val="10"/>
        <color rgb="FF000000"/>
        <rFont val="Arial Unicode MS"/>
        <family val="2"/>
      </rPr>
      <t xml:space="preserve">选品打分 自动判『淘汰』，不进利润表。</t>
    </r>
    <r>
      <rPr>
        <sz val="10"/>
        <color rgb="FF000000"/>
        <rFont val="PingFang SC"/>
        <family val="0"/>
        <charset val="1"/>
      </rPr>
      <t xml:space="preserve">SKU</t>
    </r>
    <r>
      <rPr>
        <sz val="10"/>
        <color rgb="FF000000"/>
        <rFont val="Arial Unicode MS"/>
        <family val="2"/>
      </rPr>
      <t xml:space="preserve">主表『禁限售核查』：禁售</t>
    </r>
    <r>
      <rPr>
        <sz val="10"/>
        <color rgb="FF000000"/>
        <rFont val="PingFang SC"/>
        <family val="0"/>
        <charset val="1"/>
      </rPr>
      <t xml:space="preserve">=</t>
    </r>
    <r>
      <rPr>
        <sz val="10"/>
        <color rgb="FF000000"/>
        <rFont val="Arial Unicode MS"/>
        <family val="2"/>
      </rPr>
      <t xml:space="preserve">红、需资质</t>
    </r>
    <r>
      <rPr>
        <sz val="10"/>
        <color rgb="FF000000"/>
        <rFont val="PingFang SC"/>
        <family val="0"/>
        <charset val="1"/>
      </rPr>
      <t xml:space="preserve">=</t>
    </r>
    <r>
      <rPr>
        <sz val="10"/>
        <color rgb="FF000000"/>
        <rFont val="Arial Unicode MS"/>
        <family val="2"/>
      </rPr>
      <t xml:space="preserve">黄。</t>
    </r>
  </si>
  <si>
    <r>
      <rPr>
        <b val="true"/>
        <sz val="10"/>
        <color rgb="FF000000"/>
        <rFont val="Arial Unicode MS"/>
        <family val="2"/>
      </rPr>
      <t xml:space="preserve">⑤ 话术</t>
    </r>
    <r>
      <rPr>
        <b val="true"/>
        <sz val="10"/>
        <color rgb="FF000000"/>
        <rFont val="PingFang SC"/>
        <family val="0"/>
        <charset val="1"/>
      </rPr>
      <t xml:space="preserve">/FAQ</t>
    </r>
  </si>
  <si>
    <r>
      <rPr>
        <sz val="10"/>
        <color rgb="FF000000"/>
        <rFont val="Arial Unicode MS"/>
        <family val="2"/>
      </rPr>
      <t xml:space="preserve">达人邀约话术、客服</t>
    </r>
    <r>
      <rPr>
        <sz val="10"/>
        <color rgb="FF000000"/>
        <rFont val="PingFang SC"/>
        <family val="0"/>
        <charset val="1"/>
      </rPr>
      <t xml:space="preserve">FAQ </t>
    </r>
    <r>
      <rPr>
        <sz val="10"/>
        <color rgb="FF000000"/>
        <rFont val="Arial Unicode MS"/>
        <family val="2"/>
      </rPr>
      <t xml:space="preserve">已给马来语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英语对照。不够用时找 </t>
    </r>
    <r>
      <rPr>
        <sz val="10"/>
        <color rgb="FF000000"/>
        <rFont val="PingFang SC"/>
        <family val="0"/>
        <charset val="1"/>
      </rPr>
      <t xml:space="preserve">AI </t>
    </r>
    <r>
      <rPr>
        <sz val="10"/>
        <color rgb="FF000000"/>
        <rFont val="Arial Unicode MS"/>
        <family val="2"/>
      </rPr>
      <t xml:space="preserve">现生成马来语版，本地化润色后再贴回。</t>
    </r>
  </si>
  <si>
    <t xml:space="preserve">⑥ 免责声明</t>
  </si>
  <si>
    <r>
      <rPr>
        <sz val="10"/>
        <color rgb="FF000000"/>
        <rFont val="Arial Unicode MS"/>
        <family val="2"/>
      </rPr>
      <t xml:space="preserve">所有费率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税</t>
    </r>
    <r>
      <rPr>
        <sz val="10"/>
        <color rgb="FF000000"/>
        <rFont val="PingFang SC"/>
        <family val="0"/>
        <charset val="1"/>
      </rPr>
      <t xml:space="preserve">/SLA/</t>
    </r>
    <r>
      <rPr>
        <sz val="10"/>
        <color rgb="FF000000"/>
        <rFont val="Arial Unicode MS"/>
        <family val="2"/>
      </rPr>
      <t xml:space="preserve">物流时效均为资料口径，可能过期；上架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定价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承诺前务必以 </t>
    </r>
    <r>
      <rPr>
        <sz val="10"/>
        <color rgb="FF000000"/>
        <rFont val="PingFang SC"/>
        <family val="0"/>
        <charset val="1"/>
      </rPr>
      <t xml:space="preserve">TikTok Shop </t>
    </r>
    <r>
      <rPr>
        <sz val="10"/>
        <color rgb="FF000000"/>
        <rFont val="Arial Unicode MS"/>
        <family val="2"/>
      </rPr>
      <t xml:space="preserve">卖家中心</t>
    </r>
    <r>
      <rPr>
        <sz val="10"/>
        <color rgb="FF000000"/>
        <rFont val="PingFang SC"/>
        <family val="0"/>
        <charset val="1"/>
      </rPr>
      <t xml:space="preserve">·</t>
    </r>
    <r>
      <rPr>
        <sz val="10"/>
        <color rgb="FF000000"/>
        <rFont val="Arial Unicode MS"/>
        <family val="2"/>
      </rPr>
      <t xml:space="preserve">学习中心</t>
    </r>
    <r>
      <rPr>
        <sz val="10"/>
        <color rgb="FF000000"/>
        <rFont val="PingFang SC"/>
        <family val="0"/>
        <charset val="1"/>
      </rPr>
      <t xml:space="preserve">/Help Center </t>
    </r>
    <r>
      <rPr>
        <sz val="10"/>
        <color rgb="FF000000"/>
        <rFont val="Arial Unicode MS"/>
        <family val="2"/>
      </rPr>
      <t xml:space="preserve">当期显示为准。</t>
    </r>
  </si>
  <si>
    <t xml:space="preserve">颜色规范</t>
  </si>
  <si>
    <t xml:space="preserve">颜色规范（行业惯例）</t>
  </si>
  <si>
    <t xml:space="preserve">蓝色字</t>
  </si>
  <si>
    <r>
      <rPr>
        <sz val="10"/>
        <color rgb="FF000000"/>
        <rFont val="Arial Unicode MS"/>
        <family val="2"/>
      </rPr>
      <t xml:space="preserve">可编辑输入：你按场景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店铺改的数字（售价、进货价、打分、阈值…）</t>
    </r>
  </si>
  <si>
    <t xml:space="preserve">黑色字</t>
  </si>
  <si>
    <r>
      <rPr>
        <sz val="10"/>
        <color rgb="FF000000"/>
        <rFont val="Arial Unicode MS"/>
        <family val="2"/>
      </rPr>
      <t xml:space="preserve">公式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计算结果：请勿手动覆盖，会断开联动</t>
    </r>
  </si>
  <si>
    <t xml:space="preserve">绿色字</t>
  </si>
  <si>
    <r>
      <rPr>
        <sz val="10"/>
        <color rgb="FF000000"/>
        <rFont val="Arial Unicode MS"/>
        <family val="2"/>
      </rPr>
      <t xml:space="preserve">跨表引用：从其它 </t>
    </r>
    <r>
      <rPr>
        <sz val="10"/>
        <color rgb="FF000000"/>
        <rFont val="PingFang SC"/>
        <family val="0"/>
        <charset val="1"/>
      </rPr>
      <t xml:space="preserve">sheet</t>
    </r>
    <r>
      <rPr>
        <sz val="10"/>
        <color rgb="FF000000"/>
        <rFont val="Arial Unicode MS"/>
        <family val="2"/>
      </rPr>
      <t xml:space="preserve">（多为 </t>
    </r>
    <r>
      <rPr>
        <sz val="10"/>
        <color rgb="FF000000"/>
        <rFont val="PingFang SC"/>
        <family val="0"/>
        <charset val="1"/>
      </rPr>
      <t xml:space="preserve">SKU</t>
    </r>
    <r>
      <rPr>
        <sz val="10"/>
        <color rgb="FF000000"/>
        <rFont val="Arial Unicode MS"/>
        <family val="2"/>
      </rPr>
      <t xml:space="preserve">主表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参数配置）自动带出</t>
    </r>
  </si>
  <si>
    <t xml:space="preserve">黄色底</t>
  </si>
  <si>
    <r>
      <rPr>
        <sz val="10"/>
        <color rgb="FF000000"/>
        <rFont val="Arial Unicode MS"/>
        <family val="2"/>
      </rPr>
      <t xml:space="preserve">关键假设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费率：需重点核对的官方口径数值（参数配置里）</t>
    </r>
  </si>
  <si>
    <t xml:space="preserve">红色</t>
  </si>
  <si>
    <r>
      <rPr>
        <sz val="10"/>
        <color rgb="FF000000"/>
        <rFont val="Arial Unicode MS"/>
        <family val="2"/>
      </rPr>
      <t xml:space="preserve">禁售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售价低于保本价</t>
    </r>
    <r>
      <rPr>
        <sz val="10"/>
        <color rgb="FF000000"/>
        <rFont val="PingFang SC"/>
        <family val="0"/>
        <charset val="1"/>
      </rPr>
      <t xml:space="preserve">(</t>
    </r>
    <r>
      <rPr>
        <sz val="10"/>
        <color rgb="FF000000"/>
        <rFont val="Arial Unicode MS"/>
        <family val="2"/>
      </rPr>
      <t xml:space="preserve">亏损</t>
    </r>
    <r>
      <rPr>
        <sz val="10"/>
        <color rgb="FF000000"/>
        <rFont val="PingFang SC"/>
        <family val="0"/>
        <charset val="1"/>
      </rPr>
      <t xml:space="preserve">) / </t>
    </r>
    <r>
      <rPr>
        <sz val="10"/>
        <color rgb="FF000000"/>
        <rFont val="Arial Unicode MS"/>
        <family val="2"/>
      </rPr>
      <t xml:space="preserve">一票否决 等硬警示</t>
    </r>
  </si>
  <si>
    <t xml:space="preserve">浅黄</t>
  </si>
  <si>
    <r>
      <rPr>
        <sz val="10"/>
        <color rgb="FF000000"/>
        <rFont val="Arial Unicode MS"/>
        <family val="2"/>
      </rPr>
      <t xml:space="preserve">需资质未备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售价未达目标利润率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退款率偏高 等待办提示</t>
    </r>
  </si>
  <si>
    <r>
      <rPr>
        <b val="true"/>
        <sz val="10"/>
        <color rgb="FFFFFFFF"/>
        <rFont val="Arial Unicode MS"/>
        <family val="2"/>
      </rPr>
      <t xml:space="preserve">各 </t>
    </r>
    <r>
      <rPr>
        <b val="true"/>
        <sz val="10"/>
        <color rgb="FFFFFFFF"/>
        <rFont val="PingFang SC"/>
        <family val="0"/>
        <charset val="1"/>
      </rPr>
      <t xml:space="preserve">Sheet </t>
    </r>
    <r>
      <rPr>
        <b val="true"/>
        <sz val="10"/>
        <color rgb="FFFFFFFF"/>
        <rFont val="Arial Unicode MS"/>
        <family val="2"/>
      </rPr>
      <t xml:space="preserve">用途</t>
    </r>
  </si>
  <si>
    <t xml:space="preserve">速览</t>
  </si>
  <si>
    <t xml:space="preserve">参数配置</t>
  </si>
  <si>
    <r>
      <rPr>
        <sz val="10"/>
        <color rgb="FF000000"/>
        <rFont val="Arial Unicode MS"/>
        <family val="2"/>
      </rPr>
      <t xml:space="preserve">全局变量：汇率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费率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税</t>
    </r>
    <r>
      <rPr>
        <sz val="10"/>
        <color rgb="FF000000"/>
        <rFont val="PingFang SC"/>
        <family val="0"/>
        <charset val="1"/>
      </rPr>
      <t xml:space="preserve">/SLA/</t>
    </r>
    <r>
      <rPr>
        <sz val="10"/>
        <color rgb="FF000000"/>
        <rFont val="Arial Unicode MS"/>
        <family val="2"/>
      </rPr>
      <t xml:space="preserve">选品</t>
    </r>
    <r>
      <rPr>
        <sz val="10"/>
        <color rgb="FF000000"/>
        <rFont val="PingFang SC"/>
        <family val="0"/>
        <charset val="1"/>
      </rPr>
      <t xml:space="preserve">&amp;</t>
    </r>
    <r>
      <rPr>
        <sz val="10"/>
        <color rgb="FF000000"/>
        <rFont val="Arial Unicode MS"/>
        <family val="2"/>
      </rPr>
      <t xml:space="preserve">四象限阈值。先在这里核对、设定，全表联动。</t>
    </r>
  </si>
  <si>
    <r>
      <rPr>
        <b val="true"/>
        <sz val="10"/>
        <color rgb="FF000000"/>
        <rFont val="PingFang SC"/>
        <family val="0"/>
        <charset val="1"/>
      </rPr>
      <t xml:space="preserve">SKU</t>
    </r>
    <r>
      <rPr>
        <b val="true"/>
        <sz val="10"/>
        <color rgb="FF000000"/>
        <rFont val="Arial Unicode MS"/>
        <family val="2"/>
      </rPr>
      <t xml:space="preserve">主表</t>
    </r>
  </si>
  <si>
    <r>
      <rPr>
        <sz val="10"/>
        <color rgb="FF000000"/>
        <rFont val="Arial Unicode MS"/>
        <family val="2"/>
      </rPr>
      <t xml:space="preserve">候选商品台账，贯穿全表。『禁限售核查』决定能否进利润表（禁售红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需资质黄）。</t>
    </r>
  </si>
  <si>
    <t xml:space="preserve">选品打分</t>
  </si>
  <si>
    <r>
      <rPr>
        <sz val="10"/>
        <color rgb="FF000000"/>
        <rFont val="PingFang SC"/>
        <family val="0"/>
        <charset val="1"/>
      </rPr>
      <t xml:space="preserve">7 </t>
    </r>
    <r>
      <rPr>
        <sz val="10"/>
        <color rgb="FF000000"/>
        <rFont val="Arial Unicode MS"/>
        <family val="2"/>
      </rPr>
      <t xml:space="preserve">维度</t>
    </r>
    <r>
      <rPr>
        <sz val="10"/>
        <color rgb="FF000000"/>
        <rFont val="PingFang SC"/>
        <family val="0"/>
        <charset val="1"/>
      </rPr>
      <t xml:space="preserve">×</t>
    </r>
    <r>
      <rPr>
        <sz val="10"/>
        <color rgb="FF000000"/>
        <rFont val="Arial Unicode MS"/>
        <family val="2"/>
      </rPr>
      <t xml:space="preserve">可调权重打分→加权总分排序→标『优先上架 </t>
    </r>
    <r>
      <rPr>
        <sz val="10"/>
        <color rgb="FF000000"/>
        <rFont val="PingFang SC"/>
        <family val="0"/>
        <charset val="1"/>
      </rPr>
      <t xml:space="preserve">Top N</t>
    </r>
    <r>
      <rPr>
        <sz val="10"/>
        <color rgb="FF000000"/>
        <rFont val="Arial Unicode MS"/>
        <family val="2"/>
      </rPr>
      <t xml:space="preserve">』；一票否决自动淘汰。</t>
    </r>
  </si>
  <si>
    <t xml:space="preserve">利润计算</t>
  </si>
  <si>
    <r>
      <rPr>
        <sz val="10"/>
        <color rgb="FF000000"/>
        <rFont val="Arial Unicode MS"/>
        <family val="2"/>
      </rPr>
      <t xml:space="preserve">多档售价试算利润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利润率；反解『保本价』『达标价』；售价低于红线自动标红。</t>
    </r>
  </si>
  <si>
    <t xml:space="preserve">商品四象限分层</t>
  </si>
  <si>
    <r>
      <rPr>
        <sz val="10"/>
        <color rgb="FF000000"/>
        <rFont val="Arial Unicode MS"/>
        <family val="2"/>
      </rPr>
      <t xml:space="preserve">上架后回填曝光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点击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加购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成交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退款→三段漏斗</t>
    </r>
    <r>
      <rPr>
        <sz val="10"/>
        <color rgb="FF000000"/>
        <rFont val="PingFang SC"/>
        <family val="0"/>
        <charset val="1"/>
      </rPr>
      <t xml:space="preserve">+</t>
    </r>
    <r>
      <rPr>
        <sz val="10"/>
        <color rgb="FF000000"/>
        <rFont val="Arial Unicode MS"/>
        <family val="2"/>
      </rPr>
      <t xml:space="preserve">自动判四象限</t>
    </r>
    <r>
      <rPr>
        <sz val="10"/>
        <color rgb="FF000000"/>
        <rFont val="PingFang SC"/>
        <family val="0"/>
        <charset val="1"/>
      </rPr>
      <t xml:space="preserve">+</t>
    </r>
    <r>
      <rPr>
        <sz val="10"/>
        <color rgb="FF000000"/>
        <rFont val="Arial Unicode MS"/>
        <family val="2"/>
      </rPr>
      <t xml:space="preserve">建议动作。</t>
    </r>
  </si>
  <si>
    <t xml:space="preserve">达人邀约话术</t>
  </si>
  <si>
    <r>
      <rPr>
        <sz val="10"/>
        <color rgb="FF000000"/>
        <rFont val="Arial Unicode MS"/>
        <family val="2"/>
      </rPr>
      <t xml:space="preserve">马来语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英语：破冰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邀约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寄样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跟进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维护话术库（渠道优先 </t>
    </r>
    <r>
      <rPr>
        <sz val="10"/>
        <color rgb="FF000000"/>
        <rFont val="PingFang SC"/>
        <family val="0"/>
        <charset val="1"/>
      </rPr>
      <t xml:space="preserve">WhatsApp</t>
    </r>
    <r>
      <rPr>
        <sz val="10"/>
        <color rgb="FF000000"/>
        <rFont val="Arial Unicode MS"/>
        <family val="2"/>
      </rPr>
      <t xml:space="preserve">）。</t>
    </r>
  </si>
  <si>
    <r>
      <rPr>
        <b val="true"/>
        <sz val="10"/>
        <color rgb="FF000000"/>
        <rFont val="Arial Unicode MS"/>
        <family val="2"/>
      </rPr>
      <t xml:space="preserve">客服</t>
    </r>
    <r>
      <rPr>
        <b val="true"/>
        <sz val="10"/>
        <color rgb="FF000000"/>
        <rFont val="PingFang SC"/>
        <family val="0"/>
        <charset val="1"/>
      </rPr>
      <t xml:space="preserve">FAQ+</t>
    </r>
    <r>
      <rPr>
        <b val="true"/>
        <sz val="10"/>
        <color rgb="FF000000"/>
        <rFont val="Arial Unicode MS"/>
        <family val="2"/>
      </rPr>
      <t xml:space="preserve">自动回复</t>
    </r>
  </si>
  <si>
    <r>
      <rPr>
        <sz val="10"/>
        <color rgb="FF000000"/>
        <rFont val="Arial Unicode MS"/>
        <family val="2"/>
      </rPr>
      <t xml:space="preserve">欢迎语 </t>
    </r>
    <r>
      <rPr>
        <sz val="10"/>
        <color rgb="FF000000"/>
        <rFont val="PingFang SC"/>
        <family val="0"/>
        <charset val="1"/>
      </rPr>
      <t xml:space="preserve">+ 8 </t>
    </r>
    <r>
      <rPr>
        <sz val="10"/>
        <color rgb="FF000000"/>
        <rFont val="Arial Unicode MS"/>
        <family val="2"/>
      </rPr>
      <t xml:space="preserve">订单状态自动回复 </t>
    </r>
    <r>
      <rPr>
        <sz val="10"/>
        <color rgb="FF000000"/>
        <rFont val="PingFang SC"/>
        <family val="0"/>
        <charset val="1"/>
      </rPr>
      <t xml:space="preserve">+ </t>
    </r>
    <r>
      <rPr>
        <sz val="10"/>
        <color rgb="FF000000"/>
        <rFont val="Arial Unicode MS"/>
        <family val="2"/>
      </rPr>
      <t xml:space="preserve">常见问题，中英</t>
    </r>
    <r>
      <rPr>
        <sz val="10"/>
        <color rgb="FF000000"/>
        <rFont val="PingFang SC"/>
        <family val="0"/>
        <charset val="1"/>
      </rPr>
      <t xml:space="preserve">(</t>
    </r>
    <r>
      <rPr>
        <sz val="10"/>
        <color rgb="FF000000"/>
        <rFont val="Arial Unicode MS"/>
        <family val="2"/>
      </rPr>
      <t xml:space="preserve">含马来</t>
    </r>
    <r>
      <rPr>
        <sz val="10"/>
        <color rgb="FF000000"/>
        <rFont val="PingFang SC"/>
        <family val="0"/>
        <charset val="1"/>
      </rPr>
      <t xml:space="preserve">)</t>
    </r>
    <r>
      <rPr>
        <sz val="10"/>
        <color rgb="FF000000"/>
        <rFont val="Arial Unicode MS"/>
        <family val="2"/>
      </rPr>
      <t xml:space="preserve">对照；含时效红线。</t>
    </r>
  </si>
  <si>
    <r>
      <rPr>
        <b val="true"/>
        <sz val="14"/>
        <color rgb="FFFFFFFF"/>
        <rFont val="Arial Unicode MS"/>
        <family val="2"/>
      </rPr>
      <t xml:space="preserve">参数配置 </t>
    </r>
    <r>
      <rPr>
        <b val="true"/>
        <sz val="14"/>
        <color rgb="FFFFFFFF"/>
        <rFont val="PingFang SC"/>
        <family val="0"/>
        <charset val="1"/>
      </rPr>
      <t xml:space="preserve">· </t>
    </r>
    <r>
      <rPr>
        <b val="true"/>
        <sz val="14"/>
        <color rgb="FFFFFFFF"/>
        <rFont val="Arial Unicode MS"/>
        <family val="2"/>
      </rPr>
      <t xml:space="preserve">全局变量（费率 </t>
    </r>
    <r>
      <rPr>
        <b val="true"/>
        <sz val="14"/>
        <color rgb="FFFFFFFF"/>
        <rFont val="PingFang SC"/>
        <family val="0"/>
        <charset val="1"/>
      </rPr>
      <t xml:space="preserve">/ </t>
    </r>
    <r>
      <rPr>
        <b val="true"/>
        <sz val="14"/>
        <color rgb="FFFFFFFF"/>
        <rFont val="Arial Unicode MS"/>
        <family val="2"/>
      </rPr>
      <t xml:space="preserve">汇率 </t>
    </r>
    <r>
      <rPr>
        <b val="true"/>
        <sz val="14"/>
        <color rgb="FFFFFFFF"/>
        <rFont val="PingFang SC"/>
        <family val="0"/>
        <charset val="1"/>
      </rPr>
      <t xml:space="preserve">/ </t>
    </r>
    <r>
      <rPr>
        <b val="true"/>
        <sz val="14"/>
        <color rgb="FFFFFFFF"/>
        <rFont val="Arial Unicode MS"/>
        <family val="2"/>
      </rPr>
      <t xml:space="preserve">税 </t>
    </r>
    <r>
      <rPr>
        <b val="true"/>
        <sz val="14"/>
        <color rgb="FFFFFFFF"/>
        <rFont val="PingFang SC"/>
        <family val="0"/>
        <charset val="1"/>
      </rPr>
      <t xml:space="preserve">/ </t>
    </r>
    <r>
      <rPr>
        <b val="true"/>
        <sz val="14"/>
        <color rgb="FFFFFFFF"/>
        <rFont val="Arial Unicode MS"/>
        <family val="2"/>
      </rPr>
      <t xml:space="preserve">阈值集中管理）</t>
    </r>
  </si>
  <si>
    <r>
      <rPr>
        <i val="true"/>
        <sz val="9"/>
        <color rgb="FF404040"/>
        <rFont val="Arial Unicode MS"/>
        <family val="2"/>
      </rPr>
      <t xml:space="preserve">⚠️ 所有费率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税</t>
    </r>
    <r>
      <rPr>
        <i val="true"/>
        <sz val="9"/>
        <color rgb="FF404040"/>
        <rFont val="PingFang SC"/>
        <family val="0"/>
        <charset val="1"/>
      </rPr>
      <t xml:space="preserve">/SLA </t>
    </r>
    <r>
      <rPr>
        <i val="true"/>
        <sz val="9"/>
        <color rgb="FF404040"/>
        <rFont val="Arial Unicode MS"/>
        <family val="2"/>
      </rPr>
      <t xml:space="preserve">以 </t>
    </r>
    <r>
      <rPr>
        <i val="true"/>
        <sz val="9"/>
        <color rgb="FF404040"/>
        <rFont val="PingFang SC"/>
        <family val="0"/>
        <charset val="1"/>
      </rPr>
      <t xml:space="preserve">TikTok Shop </t>
    </r>
    <r>
      <rPr>
        <i val="true"/>
        <sz val="9"/>
        <color rgb="FF404040"/>
        <rFont val="Arial Unicode MS"/>
        <family val="2"/>
      </rPr>
      <t xml:space="preserve">官方后台当期为准；改动只改本表 </t>
    </r>
    <r>
      <rPr>
        <i val="true"/>
        <sz val="9"/>
        <color rgb="FF404040"/>
        <rFont val="PingFang SC"/>
        <family val="0"/>
        <charset val="1"/>
      </rPr>
      <t xml:space="preserve">B </t>
    </r>
    <r>
      <rPr>
        <i val="true"/>
        <sz val="9"/>
        <color rgb="FF404040"/>
        <rFont val="Arial Unicode MS"/>
        <family val="2"/>
      </rPr>
      <t xml:space="preserve">列，其余 </t>
    </r>
    <r>
      <rPr>
        <i val="true"/>
        <sz val="9"/>
        <color rgb="FF404040"/>
        <rFont val="PingFang SC"/>
        <family val="0"/>
        <charset val="1"/>
      </rPr>
      <t xml:space="preserve">sheet </t>
    </r>
    <r>
      <rPr>
        <i val="true"/>
        <sz val="9"/>
        <color rgb="FF404040"/>
        <rFont val="Arial Unicode MS"/>
        <family val="2"/>
      </rPr>
      <t xml:space="preserve">自动联动。默认值为资料口径示例，使用前务必核对并填核对日期。</t>
    </r>
  </si>
  <si>
    <t xml:space="preserve">参数</t>
  </si>
  <si>
    <t xml:space="preserve">默认值</t>
  </si>
  <si>
    <t xml:space="preserve">单位</t>
  </si>
  <si>
    <r>
      <rPr>
        <b val="true"/>
        <sz val="10"/>
        <color rgb="FFFFFFFF"/>
        <rFont val="Arial Unicode MS"/>
        <family val="2"/>
      </rPr>
      <t xml:space="preserve">说明（口径 </t>
    </r>
    <r>
      <rPr>
        <b val="true"/>
        <sz val="10"/>
        <color rgb="FFFFFFFF"/>
        <rFont val="PingFang SC"/>
        <family val="0"/>
        <charset val="1"/>
      </rPr>
      <t xml:space="preserve">/ </t>
    </r>
    <r>
      <rPr>
        <b val="true"/>
        <sz val="10"/>
        <color rgb="FFFFFFFF"/>
        <rFont val="Arial Unicode MS"/>
        <family val="2"/>
      </rPr>
      <t xml:space="preserve">核对日期）</t>
    </r>
  </si>
  <si>
    <r>
      <rPr>
        <b val="true"/>
        <sz val="10"/>
        <color rgb="FF1F4E5F"/>
        <rFont val="Arial Unicode MS"/>
        <family val="2"/>
      </rPr>
      <t xml:space="preserve">一、费率 </t>
    </r>
    <r>
      <rPr>
        <b val="true"/>
        <sz val="10"/>
        <color rgb="FF1F4E5F"/>
        <rFont val="PingFang SC"/>
        <family val="0"/>
        <charset val="1"/>
      </rPr>
      <t xml:space="preserve">· </t>
    </r>
    <r>
      <rPr>
        <b val="true"/>
        <sz val="10"/>
        <color rgb="FF1F4E5F"/>
        <rFont val="Arial Unicode MS"/>
        <family val="2"/>
      </rPr>
      <t xml:space="preserve">税 </t>
    </r>
    <r>
      <rPr>
        <b val="true"/>
        <sz val="10"/>
        <color rgb="FF1F4E5F"/>
        <rFont val="PingFang SC"/>
        <family val="0"/>
        <charset val="1"/>
      </rPr>
      <t xml:space="preserve">· </t>
    </r>
    <r>
      <rPr>
        <b val="true"/>
        <sz val="10"/>
        <color rgb="FF1F4E5F"/>
        <rFont val="Arial Unicode MS"/>
        <family val="2"/>
      </rPr>
      <t xml:space="preserve">物流（⚠️ 以官方后台为准 </t>
    </r>
    <r>
      <rPr>
        <b val="true"/>
        <sz val="10"/>
        <color rgb="FF1F4E5F"/>
        <rFont val="PingFang SC"/>
        <family val="0"/>
        <charset val="1"/>
      </rPr>
      <t xml:space="preserve">+ </t>
    </r>
    <r>
      <rPr>
        <b val="true"/>
        <sz val="10"/>
        <color rgb="FF1F4E5F"/>
        <rFont val="Arial Unicode MS"/>
        <family val="2"/>
      </rPr>
      <t xml:space="preserve">核对日期）</t>
    </r>
  </si>
  <si>
    <r>
      <rPr>
        <sz val="10"/>
        <color rgb="FF000000"/>
        <rFont val="Arial Unicode MS"/>
        <family val="2"/>
      </rPr>
      <t xml:space="preserve">汇率 </t>
    </r>
    <r>
      <rPr>
        <sz val="10"/>
        <color rgb="FF000000"/>
        <rFont val="PingFang SC"/>
        <family val="0"/>
        <charset val="1"/>
      </rPr>
      <t xml:space="preserve">MYR→RMB</t>
    </r>
  </si>
  <si>
    <t xml:space="preserve">RMB/MYR</t>
  </si>
  <si>
    <r>
      <rPr>
        <sz val="9"/>
        <color rgb="FF404040"/>
        <rFont val="Arial Unicode MS"/>
        <family val="2"/>
      </rPr>
      <t xml:space="preserve">资料定价口径；实际以当下实时汇率为准。以官方后台为准 ｜ 核对日期：</t>
    </r>
    <r>
      <rPr>
        <sz val="9"/>
        <color rgb="FF404040"/>
        <rFont val="PingFang SC"/>
        <family val="0"/>
        <charset val="1"/>
      </rPr>
      <t xml:space="preserve">____</t>
    </r>
  </si>
  <si>
    <t xml:space="preserve">类目佣金率（默认，可被利润表逐行覆盖）</t>
  </si>
  <si>
    <t xml:space="preserve">%</t>
  </si>
  <si>
    <r>
      <rPr>
        <sz val="9"/>
        <color rgb="FF404040"/>
        <rFont val="Arial Unicode MS"/>
        <family val="2"/>
      </rPr>
      <t xml:space="preserve">默认取马来资料示例 </t>
    </r>
    <r>
      <rPr>
        <sz val="9"/>
        <color rgb="FF404040"/>
        <rFont val="PingFang SC"/>
        <family val="0"/>
        <charset val="1"/>
      </rPr>
      <t xml:space="preserve">8.46%</t>
    </r>
    <r>
      <rPr>
        <sz val="9"/>
        <color rgb="FF404040"/>
        <rFont val="Arial Unicode MS"/>
        <family val="2"/>
      </rPr>
      <t xml:space="preserve">（属类目佣金，落在 非</t>
    </r>
    <r>
      <rPr>
        <sz val="9"/>
        <color rgb="FF404040"/>
        <rFont val="PingFang SC"/>
        <family val="0"/>
        <charset val="1"/>
      </rPr>
      <t xml:space="preserve">Mall 7–11% / Mall 10–15% </t>
    </r>
    <r>
      <rPr>
        <sz val="9"/>
        <color rgb="FF404040"/>
        <rFont val="Arial Unicode MS"/>
        <family val="2"/>
      </rPr>
      <t xml:space="preserve">区间，含</t>
    </r>
    <r>
      <rPr>
        <sz val="9"/>
        <color rgb="FF404040"/>
        <rFont val="PingFang SC"/>
        <family val="0"/>
        <charset val="1"/>
      </rPr>
      <t xml:space="preserve">SST</t>
    </r>
    <r>
      <rPr>
        <sz val="9"/>
        <color rgb="FF404040"/>
        <rFont val="Arial Unicode MS"/>
        <family val="2"/>
      </rPr>
      <t xml:space="preserve">；</t>
    </r>
    <r>
      <rPr>
        <sz val="9"/>
        <color rgb="FF404040"/>
        <rFont val="PingFang SC"/>
        <family val="0"/>
        <charset val="1"/>
      </rPr>
      <t xml:space="preserve">2025-09-13 </t>
    </r>
    <r>
      <rPr>
        <sz val="9"/>
        <color rgb="FF404040"/>
        <rFont val="Arial Unicode MS"/>
        <family val="2"/>
      </rPr>
      <t xml:space="preserve">起上调，</t>
    </r>
    <r>
      <rPr>
        <sz val="9"/>
        <color rgb="FF404040"/>
        <rFont val="PingFang SC"/>
        <family val="0"/>
        <charset val="1"/>
      </rPr>
      <t xml:space="preserve">BXP </t>
    </r>
    <r>
      <rPr>
        <sz val="9"/>
        <color rgb="FF404040"/>
        <rFont val="Arial Unicode MS"/>
        <family val="2"/>
      </rPr>
      <t xml:space="preserve">超补商家不受影响）。按你的类目</t>
    </r>
    <r>
      <rPr>
        <sz val="9"/>
        <color rgb="FF404040"/>
        <rFont val="PingFang SC"/>
        <family val="0"/>
        <charset val="1"/>
      </rPr>
      <t xml:space="preserve">/</t>
    </r>
    <r>
      <rPr>
        <sz val="9"/>
        <color rgb="FF404040"/>
        <rFont val="Arial Unicode MS"/>
        <family val="2"/>
      </rPr>
      <t xml:space="preserve">是否 </t>
    </r>
    <r>
      <rPr>
        <sz val="9"/>
        <color rgb="FF404040"/>
        <rFont val="PingFang SC"/>
        <family val="0"/>
        <charset val="1"/>
      </rPr>
      <t xml:space="preserve">Mall </t>
    </r>
    <r>
      <rPr>
        <sz val="9"/>
        <color rgb="FF404040"/>
        <rFont val="Arial Unicode MS"/>
        <family val="2"/>
      </rPr>
      <t xml:space="preserve">改为后台实际费率。以官方后台为准 ｜ 核对日期：</t>
    </r>
    <r>
      <rPr>
        <sz val="9"/>
        <color rgb="FF404040"/>
        <rFont val="PingFang SC"/>
        <family val="0"/>
        <charset val="1"/>
      </rPr>
      <t xml:space="preserve">____</t>
    </r>
  </si>
  <si>
    <t xml:space="preserve">交易手续费</t>
  </si>
  <si>
    <r>
      <rPr>
        <sz val="9"/>
        <color rgb="FF404040"/>
        <rFont val="Arial Unicode MS"/>
        <family val="2"/>
      </rPr>
      <t xml:space="preserve">含 </t>
    </r>
    <r>
      <rPr>
        <sz val="9"/>
        <color rgb="FF404040"/>
        <rFont val="PingFang SC"/>
        <family val="0"/>
        <charset val="1"/>
      </rPr>
      <t xml:space="preserve">8% SST</t>
    </r>
    <r>
      <rPr>
        <sz val="9"/>
        <color rgb="FF404040"/>
        <rFont val="Arial Unicode MS"/>
        <family val="2"/>
      </rPr>
      <t xml:space="preserve">，</t>
    </r>
    <r>
      <rPr>
        <sz val="9"/>
        <color rgb="FF404040"/>
        <rFont val="PingFang SC"/>
        <family val="0"/>
        <charset val="1"/>
      </rPr>
      <t xml:space="preserve">2024-09-05 </t>
    </r>
    <r>
      <rPr>
        <sz val="9"/>
        <color rgb="FF404040"/>
        <rFont val="Arial Unicode MS"/>
        <family val="2"/>
      </rPr>
      <t xml:space="preserve">起上调。以官方后台为准 ｜ 核对日期：</t>
    </r>
    <r>
      <rPr>
        <sz val="9"/>
        <color rgb="FF404040"/>
        <rFont val="PingFang SC"/>
        <family val="0"/>
        <charset val="1"/>
      </rPr>
      <t xml:space="preserve">____</t>
    </r>
  </si>
  <si>
    <t xml:space="preserve">平台支持费</t>
  </si>
  <si>
    <r>
      <rPr>
        <sz val="10"/>
        <color rgb="FF808080"/>
        <rFont val="PingFang SC"/>
        <family val="0"/>
        <charset val="1"/>
      </rPr>
      <t xml:space="preserve">RM/</t>
    </r>
    <r>
      <rPr>
        <sz val="10"/>
        <color rgb="FF808080"/>
        <rFont val="Arial Unicode MS"/>
        <family val="2"/>
      </rPr>
      <t xml:space="preserve">单</t>
    </r>
  </si>
  <si>
    <r>
      <rPr>
        <sz val="9"/>
        <color rgb="FF404040"/>
        <rFont val="PingFang SC"/>
        <family val="0"/>
        <charset val="1"/>
      </rPr>
      <t xml:space="preserve">RM0.50 + 8% SST = RM0.54</t>
    </r>
    <r>
      <rPr>
        <sz val="9"/>
        <color rgb="FF404040"/>
        <rFont val="Arial Unicode MS"/>
        <family val="2"/>
      </rPr>
      <t xml:space="preserve">，</t>
    </r>
    <r>
      <rPr>
        <sz val="9"/>
        <color rgb="FF404040"/>
        <rFont val="PingFang SC"/>
        <family val="0"/>
        <charset val="1"/>
      </rPr>
      <t xml:space="preserve">2026-02-15 </t>
    </r>
    <r>
      <rPr>
        <sz val="9"/>
        <color rgb="FF404040"/>
        <rFont val="Arial Unicode MS"/>
        <family val="2"/>
      </rPr>
      <t xml:space="preserve">起。以官方后台为准 ｜ 核对日期：</t>
    </r>
    <r>
      <rPr>
        <sz val="9"/>
        <color rgb="FF404040"/>
        <rFont val="PingFang SC"/>
        <family val="0"/>
        <charset val="1"/>
      </rPr>
      <t xml:space="preserve">____</t>
    </r>
  </si>
  <si>
    <t xml:space="preserve">达人佣金率</t>
  </si>
  <si>
    <r>
      <rPr>
        <sz val="9"/>
        <color rgb="FF404040"/>
        <rFont val="Arial Unicode MS"/>
        <family val="2"/>
      </rPr>
      <t xml:space="preserve">视频带货默认 </t>
    </r>
    <r>
      <rPr>
        <sz val="9"/>
        <color rgb="FF404040"/>
        <rFont val="PingFang SC"/>
        <family val="0"/>
        <charset val="1"/>
      </rPr>
      <t xml:space="preserve">5%</t>
    </r>
    <r>
      <rPr>
        <sz val="9"/>
        <color rgb="FF404040"/>
        <rFont val="Arial Unicode MS"/>
        <family val="2"/>
      </rPr>
      <t xml:space="preserve">；主推</t>
    </r>
    <r>
      <rPr>
        <sz val="9"/>
        <color rgb="FF404040"/>
        <rFont val="PingFang SC"/>
        <family val="0"/>
        <charset val="1"/>
      </rPr>
      <t xml:space="preserve">/</t>
    </r>
    <r>
      <rPr>
        <sz val="9"/>
        <color rgb="FF404040"/>
        <rFont val="Arial Unicode MS"/>
        <family val="2"/>
      </rPr>
      <t xml:space="preserve">直播款 </t>
    </r>
    <r>
      <rPr>
        <sz val="9"/>
        <color rgb="FF404040"/>
        <rFont val="PingFang SC"/>
        <family val="0"/>
        <charset val="1"/>
      </rPr>
      <t xml:space="preserve">8–15%</t>
    </r>
    <r>
      <rPr>
        <sz val="9"/>
        <color rgb="FF404040"/>
        <rFont val="Arial Unicode MS"/>
        <family val="2"/>
      </rPr>
      <t xml:space="preserve">。签约前以实际谈判为准。</t>
    </r>
  </si>
  <si>
    <r>
      <rPr>
        <sz val="10"/>
        <color rgb="FF000000"/>
        <rFont val="PingFang SC"/>
        <family val="0"/>
        <charset val="1"/>
      </rPr>
      <t xml:space="preserve">LVG </t>
    </r>
    <r>
      <rPr>
        <sz val="10"/>
        <color rgb="FF000000"/>
        <rFont val="Arial Unicode MS"/>
        <family val="2"/>
      </rPr>
      <t xml:space="preserve">税率</t>
    </r>
  </si>
  <si>
    <r>
      <rPr>
        <sz val="9"/>
        <color rgb="FF404040"/>
        <rFont val="Arial Unicode MS"/>
        <family val="2"/>
      </rPr>
      <t xml:space="preserve">低价值进口税；适用售价 ≤ 下方上限。平台代收，此处算给卖家看真实税负。以官方后台为准 ｜ 核对日期：</t>
    </r>
    <r>
      <rPr>
        <sz val="9"/>
        <color rgb="FF404040"/>
        <rFont val="PingFang SC"/>
        <family val="0"/>
        <charset val="1"/>
      </rPr>
      <t xml:space="preserve">____</t>
    </r>
  </si>
  <si>
    <r>
      <rPr>
        <sz val="10"/>
        <color rgb="FF000000"/>
        <rFont val="PingFang SC"/>
        <family val="0"/>
        <charset val="1"/>
      </rPr>
      <t xml:space="preserve">LVG </t>
    </r>
    <r>
      <rPr>
        <sz val="10"/>
        <color rgb="FF000000"/>
        <rFont val="Arial Unicode MS"/>
        <family val="2"/>
      </rPr>
      <t xml:space="preserve">适用售价上限</t>
    </r>
  </si>
  <si>
    <t xml:space="preserve">MYR</t>
  </si>
  <si>
    <r>
      <rPr>
        <sz val="9"/>
        <color rgb="FF404040"/>
        <rFont val="Arial Unicode MS"/>
        <family val="2"/>
      </rPr>
      <t xml:space="preserve">售价 ≤ </t>
    </r>
    <r>
      <rPr>
        <sz val="9"/>
        <color rgb="FF404040"/>
        <rFont val="PingFang SC"/>
        <family val="0"/>
        <charset val="1"/>
      </rPr>
      <t xml:space="preserve">RM500 </t>
    </r>
    <r>
      <rPr>
        <sz val="9"/>
        <color rgb="FF404040"/>
        <rFont val="Arial Unicode MS"/>
        <family val="2"/>
      </rPr>
      <t xml:space="preserve">适用 </t>
    </r>
    <r>
      <rPr>
        <sz val="9"/>
        <color rgb="FF404040"/>
        <rFont val="PingFang SC"/>
        <family val="0"/>
        <charset val="1"/>
      </rPr>
      <t xml:space="preserve">LVG</t>
    </r>
    <r>
      <rPr>
        <sz val="9"/>
        <color rgb="FF404040"/>
        <rFont val="Arial Unicode MS"/>
        <family val="2"/>
      </rPr>
      <t xml:space="preserve">；</t>
    </r>
    <r>
      <rPr>
        <sz val="9"/>
        <color rgb="FF404040"/>
        <rFont val="PingFang SC"/>
        <family val="0"/>
        <charset val="1"/>
      </rPr>
      <t xml:space="preserve">&gt; RM500 </t>
    </r>
    <r>
      <rPr>
        <sz val="9"/>
        <color rgb="FF404040"/>
        <rFont val="Arial Unicode MS"/>
        <family val="2"/>
      </rPr>
      <t xml:space="preserve">走常规进口（利润表自动提示，请自行核算进口税）。以官方后台为准 ｜ 核对日期：</t>
    </r>
    <r>
      <rPr>
        <sz val="9"/>
        <color rgb="FF404040"/>
        <rFont val="PingFang SC"/>
        <family val="0"/>
        <charset val="1"/>
      </rPr>
      <t xml:space="preserve">____</t>
    </r>
  </si>
  <si>
    <t xml:space="preserve">二、利润目标与预留（自行设定）</t>
  </si>
  <si>
    <t xml:space="preserve">目标利润率</t>
  </si>
  <si>
    <t xml:space="preserve">自行设定；用于反解『达标价红线』（达到此利润率所需的最低售价）。</t>
  </si>
  <si>
    <r>
      <rPr>
        <sz val="10"/>
        <color rgb="FF000000"/>
        <rFont val="Arial Unicode MS"/>
        <family val="2"/>
      </rPr>
      <t xml:space="preserve">退款损耗预留 </t>
    </r>
    <r>
      <rPr>
        <sz val="10"/>
        <color rgb="FF000000"/>
        <rFont val="PingFang SC"/>
        <family val="0"/>
        <charset val="1"/>
      </rPr>
      <t xml:space="preserve">%</t>
    </r>
  </si>
  <si>
    <t xml:space="preserve">自行设定；马来退货率较低，按本店实际退款率预留。</t>
  </si>
  <si>
    <r>
      <rPr>
        <sz val="10"/>
        <color rgb="FF000000"/>
        <rFont val="Arial Unicode MS"/>
        <family val="2"/>
      </rPr>
      <t xml:space="preserve">广告预留 </t>
    </r>
    <r>
      <rPr>
        <sz val="10"/>
        <color rgb="FF000000"/>
        <rFont val="PingFang SC"/>
        <family val="0"/>
        <charset val="1"/>
      </rPr>
      <t xml:space="preserve">%</t>
    </r>
  </si>
  <si>
    <r>
      <rPr>
        <sz val="9"/>
        <color rgb="FF404040"/>
        <rFont val="Arial Unicode MS"/>
        <family val="2"/>
      </rPr>
      <t xml:space="preserve">自行设定；为投流</t>
    </r>
    <r>
      <rPr>
        <sz val="9"/>
        <color rgb="FF404040"/>
        <rFont val="PingFang SC"/>
        <family val="0"/>
        <charset val="1"/>
      </rPr>
      <t xml:space="preserve">/</t>
    </r>
    <r>
      <rPr>
        <sz val="9"/>
        <color rgb="FF404040"/>
        <rFont val="Arial Unicode MS"/>
        <family val="2"/>
      </rPr>
      <t xml:space="preserve">加热预留的成本占比。</t>
    </r>
  </si>
  <si>
    <r>
      <rPr>
        <b val="true"/>
        <sz val="10"/>
        <color rgb="FF1F4E5F"/>
        <rFont val="Arial Unicode MS"/>
        <family val="2"/>
      </rPr>
      <t xml:space="preserve">三、选品 </t>
    </r>
    <r>
      <rPr>
        <b val="true"/>
        <sz val="10"/>
        <color rgb="FF1F4E5F"/>
        <rFont val="PingFang SC"/>
        <family val="0"/>
        <charset val="1"/>
      </rPr>
      <t xml:space="preserve">· </t>
    </r>
    <r>
      <rPr>
        <b val="true"/>
        <sz val="10"/>
        <color rgb="FF1F4E5F"/>
        <rFont val="Arial Unicode MS"/>
        <family val="2"/>
      </rPr>
      <t xml:space="preserve">四象限阈值（自行设定）</t>
    </r>
  </si>
  <si>
    <r>
      <rPr>
        <sz val="10"/>
        <color rgb="FF000000"/>
        <rFont val="Arial Unicode MS"/>
        <family val="2"/>
      </rPr>
      <t xml:space="preserve">选品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优先上架 </t>
    </r>
    <r>
      <rPr>
        <sz val="10"/>
        <color rgb="FF000000"/>
        <rFont val="PingFang SC"/>
        <family val="0"/>
        <charset val="1"/>
      </rPr>
      <t xml:space="preserve">Top N</t>
    </r>
  </si>
  <si>
    <t xml:space="preserve">个</t>
  </si>
  <si>
    <r>
      <rPr>
        <sz val="9"/>
        <color rgb="FF404040"/>
        <rFont val="Arial Unicode MS"/>
        <family val="2"/>
      </rPr>
      <t xml:space="preserve">加权总分排名前 </t>
    </r>
    <r>
      <rPr>
        <sz val="9"/>
        <color rgb="FF404040"/>
        <rFont val="PingFang SC"/>
        <family val="0"/>
        <charset val="1"/>
      </rPr>
      <t xml:space="preserve">N </t>
    </r>
    <r>
      <rPr>
        <sz val="9"/>
        <color rgb="FF404040"/>
        <rFont val="Arial Unicode MS"/>
        <family val="2"/>
      </rPr>
      <t xml:space="preserve">名判『⭐优先上架 </t>
    </r>
    <r>
      <rPr>
        <sz val="9"/>
        <color rgb="FF404040"/>
        <rFont val="PingFang SC"/>
        <family val="0"/>
        <charset val="1"/>
      </rPr>
      <t xml:space="preserve">Top N</t>
    </r>
    <r>
      <rPr>
        <sz val="9"/>
        <color rgb="FF404040"/>
        <rFont val="Arial Unicode MS"/>
        <family val="2"/>
      </rPr>
      <t xml:space="preserve">』。</t>
    </r>
  </si>
  <si>
    <r>
      <rPr>
        <sz val="10"/>
        <color rgb="FF000000"/>
        <rFont val="Arial Unicode MS"/>
        <family val="2"/>
      </rPr>
      <t xml:space="preserve">选品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观察线（加权总分 </t>
    </r>
    <r>
      <rPr>
        <sz val="10"/>
        <color rgb="FF000000"/>
        <rFont val="PingFang SC"/>
        <family val="0"/>
        <charset val="1"/>
      </rPr>
      <t xml:space="preserve">1–5</t>
    </r>
    <r>
      <rPr>
        <sz val="10"/>
        <color rgb="FF000000"/>
        <rFont val="Arial Unicode MS"/>
        <family val="2"/>
      </rPr>
      <t xml:space="preserve">）</t>
    </r>
  </si>
  <si>
    <t xml:space="preserve">分</t>
  </si>
  <si>
    <r>
      <rPr>
        <sz val="9"/>
        <color rgb="FF404040"/>
        <rFont val="Arial Unicode MS"/>
        <family val="2"/>
      </rPr>
      <t xml:space="preserve">加权总分 ≥ 此值但未进 </t>
    </r>
    <r>
      <rPr>
        <sz val="9"/>
        <color rgb="FF404040"/>
        <rFont val="PingFang SC"/>
        <family val="0"/>
        <charset val="1"/>
      </rPr>
      <t xml:space="preserve">TopN → </t>
    </r>
    <r>
      <rPr>
        <sz val="9"/>
        <color rgb="FF404040"/>
        <rFont val="Arial Unicode MS"/>
        <family val="2"/>
      </rPr>
      <t xml:space="preserve">判『观察跟进』，否则『暂缓』。</t>
    </r>
  </si>
  <si>
    <r>
      <rPr>
        <sz val="10"/>
        <color rgb="FF000000"/>
        <rFont val="Arial Unicode MS"/>
        <family val="2"/>
      </rPr>
      <t xml:space="preserve">四象限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曝光阈值（流量轴分界）</t>
    </r>
  </si>
  <si>
    <r>
      <rPr>
        <sz val="10"/>
        <color rgb="FF808080"/>
        <rFont val="Arial Unicode MS"/>
        <family val="2"/>
      </rPr>
      <t xml:space="preserve">次</t>
    </r>
    <r>
      <rPr>
        <sz val="10"/>
        <color rgb="FF808080"/>
        <rFont val="PingFang SC"/>
        <family val="0"/>
        <charset val="1"/>
      </rPr>
      <t xml:space="preserve">/</t>
    </r>
    <r>
      <rPr>
        <sz val="10"/>
        <color rgb="FF808080"/>
        <rFont val="Arial Unicode MS"/>
        <family val="2"/>
      </rPr>
      <t xml:space="preserve">人</t>
    </r>
  </si>
  <si>
    <t xml:space="preserve">曝光 ≥ 此值判『高流量』。按本店数据分布调整。</t>
  </si>
  <si>
    <r>
      <rPr>
        <sz val="10"/>
        <color rgb="FF000000"/>
        <rFont val="Arial Unicode MS"/>
        <family val="2"/>
      </rPr>
      <t xml:space="preserve">四象限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成交率阈值（转化轴分界）</t>
    </r>
  </si>
  <si>
    <r>
      <rPr>
        <sz val="9"/>
        <color rgb="FF404040"/>
        <rFont val="Arial Unicode MS"/>
        <family val="2"/>
      </rPr>
      <t xml:space="preserve">成交率</t>
    </r>
    <r>
      <rPr>
        <sz val="9"/>
        <color rgb="FF404040"/>
        <rFont val="PingFang SC"/>
        <family val="0"/>
        <charset val="1"/>
      </rPr>
      <t xml:space="preserve">(=</t>
    </r>
    <r>
      <rPr>
        <sz val="9"/>
        <color rgb="FF404040"/>
        <rFont val="Arial Unicode MS"/>
        <family val="2"/>
      </rPr>
      <t xml:space="preserve">成交</t>
    </r>
    <r>
      <rPr>
        <sz val="9"/>
        <color rgb="FF404040"/>
        <rFont val="PingFang SC"/>
        <family val="0"/>
        <charset val="1"/>
      </rPr>
      <t xml:space="preserve">/</t>
    </r>
    <r>
      <rPr>
        <sz val="9"/>
        <color rgb="FF404040"/>
        <rFont val="Arial Unicode MS"/>
        <family val="2"/>
      </rPr>
      <t xml:space="preserve">加购</t>
    </r>
    <r>
      <rPr>
        <sz val="9"/>
        <color rgb="FF404040"/>
        <rFont val="PingFang SC"/>
        <family val="0"/>
        <charset val="1"/>
      </rPr>
      <t xml:space="preserve">) ≥ </t>
    </r>
    <r>
      <rPr>
        <sz val="9"/>
        <color rgb="FF404040"/>
        <rFont val="Arial Unicode MS"/>
        <family val="2"/>
      </rPr>
      <t xml:space="preserve">此值判『高转化』。按类目基准调整。</t>
    </r>
  </si>
  <si>
    <r>
      <rPr>
        <sz val="10"/>
        <color rgb="FF000000"/>
        <rFont val="Arial Unicode MS"/>
        <family val="2"/>
      </rPr>
      <t xml:space="preserve">四象限</t>
    </r>
    <r>
      <rPr>
        <sz val="10"/>
        <color rgb="FF000000"/>
        <rFont val="PingFang SC"/>
        <family val="0"/>
        <charset val="1"/>
      </rPr>
      <t xml:space="preserve">-</t>
    </r>
    <r>
      <rPr>
        <sz val="10"/>
        <color rgb="FF000000"/>
        <rFont val="Arial Unicode MS"/>
        <family val="2"/>
      </rPr>
      <t xml:space="preserve">退款率预警线</t>
    </r>
  </si>
  <si>
    <r>
      <rPr>
        <sz val="9"/>
        <color rgb="FF404040"/>
        <rFont val="Arial Unicode MS"/>
        <family val="2"/>
      </rPr>
      <t xml:space="preserve">退款率 </t>
    </r>
    <r>
      <rPr>
        <sz val="9"/>
        <color rgb="FF404040"/>
        <rFont val="PingFang SC"/>
        <family val="0"/>
        <charset val="1"/>
      </rPr>
      <t xml:space="preserve">&gt; </t>
    </r>
    <r>
      <rPr>
        <sz val="9"/>
        <color rgb="FF404040"/>
        <rFont val="Arial Unicode MS"/>
        <family val="2"/>
      </rPr>
      <t xml:space="preserve">此值 → 四象限表标『⚠️退款率偏高』（选品红线信号，多为尺码</t>
    </r>
    <r>
      <rPr>
        <sz val="9"/>
        <color rgb="FF404040"/>
        <rFont val="PingFang SC"/>
        <family val="0"/>
        <charset val="1"/>
      </rPr>
      <t xml:space="preserve">/</t>
    </r>
    <r>
      <rPr>
        <sz val="9"/>
        <color rgb="FF404040"/>
        <rFont val="Arial Unicode MS"/>
        <family val="2"/>
      </rPr>
      <t xml:space="preserve">质量）。</t>
    </r>
  </si>
  <si>
    <r>
      <rPr>
        <b val="true"/>
        <sz val="14"/>
        <color rgb="FFFFFFFF"/>
        <rFont val="PingFang SC"/>
        <family val="0"/>
        <charset val="1"/>
      </rPr>
      <t xml:space="preserve">SKU </t>
    </r>
    <r>
      <rPr>
        <b val="true"/>
        <sz val="14"/>
        <color rgb="FFFFFFFF"/>
        <rFont val="Arial Unicode MS"/>
        <family val="2"/>
      </rPr>
      <t xml:space="preserve">主表 </t>
    </r>
    <r>
      <rPr>
        <b val="true"/>
        <sz val="14"/>
        <color rgb="FFFFFFFF"/>
        <rFont val="PingFang SC"/>
        <family val="0"/>
        <charset val="1"/>
      </rPr>
      <t xml:space="preserve">· </t>
    </r>
    <r>
      <rPr>
        <b val="true"/>
        <sz val="14"/>
        <color rgb="FFFFFFFF"/>
        <rFont val="Arial Unicode MS"/>
        <family val="2"/>
      </rPr>
      <t xml:space="preserve">候选商品台账（贯穿全表）</t>
    </r>
  </si>
  <si>
    <r>
      <rPr>
        <i val="true"/>
        <sz val="9"/>
        <color rgb="FF404040"/>
        <rFont val="Arial Unicode MS"/>
        <family val="2"/>
      </rPr>
      <t xml:space="preserve">贯穿全表的唯一商品来源。其它 </t>
    </r>
    <r>
      <rPr>
        <i val="true"/>
        <sz val="9"/>
        <color rgb="FF404040"/>
        <rFont val="PingFang SC"/>
        <family val="0"/>
        <charset val="1"/>
      </rPr>
      <t xml:space="preserve">sheet </t>
    </r>
    <r>
      <rPr>
        <i val="true"/>
        <sz val="9"/>
        <color rgb="FF404040"/>
        <rFont val="Arial Unicode MS"/>
        <family val="2"/>
      </rPr>
      <t xml:space="preserve">用『编号』回查本表。『禁限售核查』</t>
    </r>
    <r>
      <rPr>
        <i val="true"/>
        <sz val="9"/>
        <color rgb="FF404040"/>
        <rFont val="PingFang SC"/>
        <family val="0"/>
        <charset val="1"/>
      </rPr>
      <t xml:space="preserve">=</t>
    </r>
    <r>
      <rPr>
        <i val="true"/>
        <sz val="9"/>
        <color rgb="FF404040"/>
        <rFont val="Arial Unicode MS"/>
        <family val="2"/>
      </rPr>
      <t xml:space="preserve">禁售→红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一票否决</t>
    </r>
    <r>
      <rPr>
        <i val="true"/>
        <sz val="9"/>
        <color rgb="FF404040"/>
        <rFont val="PingFang SC"/>
        <family val="0"/>
        <charset val="1"/>
      </rPr>
      <t xml:space="preserve">)</t>
    </r>
    <r>
      <rPr>
        <i val="true"/>
        <sz val="9"/>
        <color rgb="FF404040"/>
        <rFont val="Arial Unicode MS"/>
        <family val="2"/>
      </rPr>
      <t xml:space="preserve">、需资质→黄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未备齐前不进利润表</t>
    </r>
    <r>
      <rPr>
        <i val="true"/>
        <sz val="9"/>
        <color rgb="FF404040"/>
        <rFont val="PingFang SC"/>
        <family val="0"/>
        <charset val="1"/>
      </rPr>
      <t xml:space="preserve">)</t>
    </r>
    <r>
      <rPr>
        <i val="true"/>
        <sz val="9"/>
        <color rgb="FF404040"/>
        <rFont val="Arial Unicode MS"/>
        <family val="2"/>
      </rPr>
      <t xml:space="preserve">。前 </t>
    </r>
    <r>
      <rPr>
        <i val="true"/>
        <sz val="9"/>
        <color rgb="FF404040"/>
        <rFont val="PingFang SC"/>
        <family val="0"/>
        <charset val="1"/>
      </rPr>
      <t xml:space="preserve">4 </t>
    </r>
    <r>
      <rPr>
        <i val="true"/>
        <sz val="9"/>
        <color rgb="FF404040"/>
        <rFont val="Arial Unicode MS"/>
        <family val="2"/>
      </rPr>
      <t xml:space="preserve">行为示例，可删。</t>
    </r>
  </si>
  <si>
    <t xml:space="preserve">编号</t>
  </si>
  <si>
    <t xml:space="preserve">品名</t>
  </si>
  <si>
    <t xml:space="preserve">类目</t>
  </si>
  <si>
    <r>
      <rPr>
        <b val="true"/>
        <sz val="10"/>
        <color rgb="FFFFFFFF"/>
        <rFont val="Arial Unicode MS"/>
        <family val="2"/>
      </rPr>
      <t xml:space="preserve">货源链接</t>
    </r>
    <r>
      <rPr>
        <b val="true"/>
        <sz val="10"/>
        <color rgb="FFFFFFFF"/>
        <rFont val="PingFang SC"/>
        <family val="0"/>
        <charset val="1"/>
      </rPr>
      <t xml:space="preserve">(1688/PDD)</t>
    </r>
  </si>
  <si>
    <r>
      <rPr>
        <b val="true"/>
        <sz val="10"/>
        <color rgb="FFFFFFFF"/>
        <rFont val="Arial Unicode MS"/>
        <family val="2"/>
      </rPr>
      <t xml:space="preserve">进货价</t>
    </r>
    <r>
      <rPr>
        <b val="true"/>
        <sz val="10"/>
        <color rgb="FFFFFFFF"/>
        <rFont val="PingFang SC"/>
        <family val="0"/>
        <charset val="1"/>
      </rPr>
      <t xml:space="preserve">RMB</t>
    </r>
  </si>
  <si>
    <r>
      <rPr>
        <b val="true"/>
        <sz val="10"/>
        <color rgb="FFFFFFFF"/>
        <rFont val="Arial Unicode MS"/>
        <family val="2"/>
      </rPr>
      <t xml:space="preserve">重量</t>
    </r>
    <r>
      <rPr>
        <b val="true"/>
        <sz val="10"/>
        <color rgb="FFFFFFFF"/>
        <rFont val="PingFang SC"/>
        <family val="0"/>
        <charset val="1"/>
      </rPr>
      <t xml:space="preserve">g</t>
    </r>
  </si>
  <si>
    <t xml:space="preserve">尺寸</t>
  </si>
  <si>
    <t xml:space="preserve">清真合规</t>
  </si>
  <si>
    <t xml:space="preserve">禁限售核查</t>
  </si>
  <si>
    <r>
      <rPr>
        <b val="true"/>
        <sz val="10"/>
        <color rgb="FFFFFFFF"/>
        <rFont val="PingFang SC"/>
        <family val="0"/>
        <charset val="1"/>
      </rPr>
      <t xml:space="preserve">532</t>
    </r>
    <r>
      <rPr>
        <b val="true"/>
        <sz val="10"/>
        <color rgb="FFFFFFFF"/>
        <rFont val="Arial Unicode MS"/>
        <family val="2"/>
      </rPr>
      <t xml:space="preserve">分类</t>
    </r>
  </si>
  <si>
    <t xml:space="preserve">状态</t>
  </si>
  <si>
    <t xml:space="preserve">上架日期</t>
  </si>
  <si>
    <t xml:space="preserve">备注</t>
  </si>
  <si>
    <t xml:space="preserve">TKMY-001</t>
  </si>
  <si>
    <r>
      <rPr>
        <sz val="10"/>
        <color rgb="FF0000FF"/>
        <rFont val="Arial Unicode MS"/>
        <family val="2"/>
      </rPr>
      <t xml:space="preserve">印花头巾 </t>
    </r>
    <r>
      <rPr>
        <sz val="10"/>
        <color rgb="FF0000FF"/>
        <rFont val="PingFang SC"/>
        <family val="0"/>
        <charset val="1"/>
      </rPr>
      <t xml:space="preserve">Hijab Bawal Printed</t>
    </r>
  </si>
  <si>
    <r>
      <rPr>
        <sz val="10"/>
        <color rgb="FF0000FF"/>
        <rFont val="Arial Unicode MS"/>
        <family val="2"/>
      </rPr>
      <t xml:space="preserve">穆斯林时尚</t>
    </r>
    <r>
      <rPr>
        <sz val="10"/>
        <color rgb="FF0000FF"/>
        <rFont val="PingFang SC"/>
        <family val="0"/>
        <charset val="1"/>
      </rPr>
      <t xml:space="preserve">/</t>
    </r>
    <r>
      <rPr>
        <sz val="10"/>
        <color rgb="FF0000FF"/>
        <rFont val="Arial Unicode MS"/>
        <family val="2"/>
      </rPr>
      <t xml:space="preserve">配饰</t>
    </r>
  </si>
  <si>
    <r>
      <rPr>
        <sz val="10"/>
        <color rgb="FF0000FF"/>
        <rFont val="PingFang SC"/>
        <family val="0"/>
        <charset val="1"/>
      </rPr>
      <t xml:space="preserve">1688</t>
    </r>
    <r>
      <rPr>
        <sz val="10"/>
        <color rgb="FF0000FF"/>
        <rFont val="Arial Unicode MS"/>
        <family val="2"/>
      </rPr>
      <t xml:space="preserve">：示例链接</t>
    </r>
  </si>
  <si>
    <t xml:space="preserve">1.8m×1.8m</t>
  </si>
  <si>
    <t xml:space="preserve">是</t>
  </si>
  <si>
    <t xml:space="preserve">通过</t>
  </si>
  <si>
    <t xml:space="preserve">基础</t>
  </si>
  <si>
    <t xml:space="preserve">候选</t>
  </si>
  <si>
    <r>
      <rPr>
        <sz val="10"/>
        <color rgb="FF0000FF"/>
        <rFont val="Arial Unicode MS"/>
        <family val="2"/>
      </rPr>
      <t xml:space="preserve">斋月</t>
    </r>
    <r>
      <rPr>
        <sz val="10"/>
        <color rgb="FF0000FF"/>
        <rFont val="PingFang SC"/>
        <family val="0"/>
        <charset val="1"/>
      </rPr>
      <t xml:space="preserve">/</t>
    </r>
    <r>
      <rPr>
        <sz val="10"/>
        <color rgb="FF0000FF"/>
        <rFont val="Arial Unicode MS"/>
        <family val="2"/>
      </rPr>
      <t xml:space="preserve">开斋节前后高峰；轻小件扛运费</t>
    </r>
  </si>
  <si>
    <t xml:space="preserve">TKMY-002</t>
  </si>
  <si>
    <r>
      <rPr>
        <sz val="10"/>
        <color rgb="FF0000FF"/>
        <rFont val="Arial Unicode MS"/>
        <family val="2"/>
      </rPr>
      <t xml:space="preserve">折叠除湿盒 </t>
    </r>
    <r>
      <rPr>
        <sz val="10"/>
        <color rgb="FF0000FF"/>
        <rFont val="PingFang SC"/>
        <family val="0"/>
        <charset val="1"/>
      </rPr>
      <t xml:space="preserve">Kotak Penyahlembap</t>
    </r>
  </si>
  <si>
    <t xml:space="preserve">居家日用</t>
  </si>
  <si>
    <t xml:space="preserve">12×8×8cm</t>
  </si>
  <si>
    <t xml:space="preserve">NA</t>
  </si>
  <si>
    <t xml:space="preserve">微创新</t>
  </si>
  <si>
    <t xml:space="preserve">雨季防潮刚需；不可带宗教关键词</t>
  </si>
  <si>
    <t xml:space="preserve">TKMY-003</t>
  </si>
  <si>
    <t xml:space="preserve">矫正近视框架眼镜</t>
  </si>
  <si>
    <t xml:space="preserve">眼镜</t>
  </si>
  <si>
    <t xml:space="preserve">标准</t>
  </si>
  <si>
    <t xml:space="preserve">禁售</t>
  </si>
  <si>
    <t xml:space="preserve">趋势</t>
  </si>
  <si>
    <r>
      <rPr>
        <sz val="10"/>
        <color rgb="FF0000FF"/>
        <rFont val="Arial Unicode MS"/>
        <family val="2"/>
      </rPr>
      <t xml:space="preserve">⚠马来禁售矫正型眼镜</t>
    </r>
    <r>
      <rPr>
        <sz val="10"/>
        <color rgb="FF0000FF"/>
        <rFont val="PingFang SC"/>
        <family val="0"/>
        <charset val="1"/>
      </rPr>
      <t xml:space="preserve">(</t>
    </r>
    <r>
      <rPr>
        <sz val="10"/>
        <color rgb="FF0000FF"/>
        <rFont val="Arial Unicode MS"/>
        <family val="2"/>
      </rPr>
      <t xml:space="preserve">近视</t>
    </r>
    <r>
      <rPr>
        <sz val="10"/>
        <color rgb="FF0000FF"/>
        <rFont val="PingFang SC"/>
        <family val="0"/>
        <charset val="1"/>
      </rPr>
      <t xml:space="preserve">/</t>
    </r>
    <r>
      <rPr>
        <sz val="10"/>
        <color rgb="FF0000FF"/>
        <rFont val="Arial Unicode MS"/>
        <family val="2"/>
      </rPr>
      <t xml:space="preserve">远视</t>
    </r>
    <r>
      <rPr>
        <sz val="10"/>
        <color rgb="FF0000FF"/>
        <rFont val="PingFang SC"/>
        <family val="0"/>
        <charset val="1"/>
      </rPr>
      <t xml:space="preserve">)→</t>
    </r>
    <r>
      <rPr>
        <sz val="10"/>
        <color rgb="FF0000FF"/>
        <rFont val="Arial Unicode MS"/>
        <family val="2"/>
      </rPr>
      <t xml:space="preserve">一票否决</t>
    </r>
  </si>
  <si>
    <t xml:space="preserve">TKMY-004</t>
  </si>
  <si>
    <t xml:space="preserve">儿童保湿面霜</t>
  </si>
  <si>
    <r>
      <rPr>
        <sz val="10"/>
        <color rgb="FF0000FF"/>
        <rFont val="Arial Unicode MS"/>
        <family val="2"/>
      </rPr>
      <t xml:space="preserve">美妆个护</t>
    </r>
    <r>
      <rPr>
        <sz val="10"/>
        <color rgb="FF0000FF"/>
        <rFont val="PingFang SC"/>
        <family val="0"/>
        <charset val="1"/>
      </rPr>
      <t xml:space="preserve">/</t>
    </r>
    <r>
      <rPr>
        <sz val="10"/>
        <color rgb="FF0000FF"/>
        <rFont val="Arial Unicode MS"/>
        <family val="2"/>
      </rPr>
      <t xml:space="preserve">母婴</t>
    </r>
  </si>
  <si>
    <r>
      <rPr>
        <sz val="10"/>
        <color rgb="FF0000FF"/>
        <rFont val="PingFang SC"/>
        <family val="0"/>
        <charset val="1"/>
      </rPr>
      <t xml:space="preserve">50g/</t>
    </r>
    <r>
      <rPr>
        <sz val="10"/>
        <color rgb="FF0000FF"/>
        <rFont val="Arial Unicode MS"/>
        <family val="2"/>
      </rPr>
      <t xml:space="preserve">瓶</t>
    </r>
  </si>
  <si>
    <t xml:space="preserve">需资质</t>
  </si>
  <si>
    <r>
      <rPr>
        <sz val="10"/>
        <color rgb="FF0000FF"/>
        <rFont val="Arial Unicode MS"/>
        <family val="2"/>
      </rPr>
      <t xml:space="preserve">健康个护</t>
    </r>
    <r>
      <rPr>
        <sz val="10"/>
        <color rgb="FF0000FF"/>
        <rFont val="PingFang SC"/>
        <family val="0"/>
        <charset val="1"/>
      </rPr>
      <t xml:space="preserve">/</t>
    </r>
    <r>
      <rPr>
        <sz val="10"/>
        <color rgb="FF0000FF"/>
        <rFont val="Arial Unicode MS"/>
        <family val="2"/>
      </rPr>
      <t xml:space="preserve">母婴属限售，需资质未备→一票否决</t>
    </r>
  </si>
  <si>
    <r>
      <rPr>
        <b val="true"/>
        <sz val="14"/>
        <color rgb="FFFFFFFF"/>
        <rFont val="Arial Unicode MS"/>
        <family val="2"/>
      </rPr>
      <t xml:space="preserve">选品打分 </t>
    </r>
    <r>
      <rPr>
        <b val="true"/>
        <sz val="14"/>
        <color rgb="FFFFFFFF"/>
        <rFont val="PingFang SC"/>
        <family val="0"/>
        <charset val="1"/>
      </rPr>
      <t xml:space="preserve">· 7 </t>
    </r>
    <r>
      <rPr>
        <b val="true"/>
        <sz val="14"/>
        <color rgb="FFFFFFFF"/>
        <rFont val="Arial Unicode MS"/>
        <family val="2"/>
      </rPr>
      <t xml:space="preserve">维度加权排序</t>
    </r>
  </si>
  <si>
    <r>
      <rPr>
        <i val="true"/>
        <sz val="9"/>
        <color rgb="FF404040"/>
        <rFont val="Arial Unicode MS"/>
        <family val="2"/>
      </rPr>
      <t xml:space="preserve">打分 </t>
    </r>
    <r>
      <rPr>
        <i val="true"/>
        <sz val="9"/>
        <color rgb="FF404040"/>
        <rFont val="PingFang SC"/>
        <family val="0"/>
        <charset val="1"/>
      </rPr>
      <t xml:space="preserve">1–5</t>
    </r>
    <r>
      <rPr>
        <i val="true"/>
        <sz val="9"/>
        <color rgb="FF404040"/>
        <rFont val="Arial Unicode MS"/>
        <family val="2"/>
      </rPr>
      <t xml:space="preserve">（</t>
    </r>
    <r>
      <rPr>
        <i val="true"/>
        <sz val="9"/>
        <color rgb="FF404040"/>
        <rFont val="PingFang SC"/>
        <family val="0"/>
        <charset val="1"/>
      </rPr>
      <t xml:space="preserve">5</t>
    </r>
    <r>
      <rPr>
        <i val="true"/>
        <sz val="9"/>
        <color rgb="FF404040"/>
        <rFont val="Arial Unicode MS"/>
        <family val="2"/>
      </rPr>
      <t xml:space="preserve">最好）。权重在第 </t>
    </r>
    <r>
      <rPr>
        <i val="true"/>
        <sz val="9"/>
        <color rgb="FF404040"/>
        <rFont val="PingFang SC"/>
        <family val="0"/>
        <charset val="1"/>
      </rPr>
      <t xml:space="preserve">3 </t>
    </r>
    <r>
      <rPr>
        <i val="true"/>
        <sz val="9"/>
        <color rgb="FF404040"/>
        <rFont val="Arial Unicode MS"/>
        <family val="2"/>
      </rPr>
      <t xml:space="preserve">行可调、合计应</t>
    </r>
    <r>
      <rPr>
        <i val="true"/>
        <sz val="9"/>
        <color rgb="FF404040"/>
        <rFont val="PingFang SC"/>
        <family val="0"/>
        <charset val="1"/>
      </rPr>
      <t xml:space="preserve">=100%</t>
    </r>
    <r>
      <rPr>
        <i val="true"/>
        <sz val="9"/>
        <color rgb="FF404040"/>
        <rFont val="Arial Unicode MS"/>
        <family val="2"/>
      </rPr>
      <t xml:space="preserve">。加权总分降序→排名前 </t>
    </r>
    <r>
      <rPr>
        <i val="true"/>
        <sz val="9"/>
        <color rgb="FF404040"/>
        <rFont val="PingFang SC"/>
        <family val="0"/>
        <charset val="1"/>
      </rPr>
      <t xml:space="preserve">Top N </t>
    </r>
    <r>
      <rPr>
        <i val="true"/>
        <sz val="9"/>
        <color rgb="FF404040"/>
        <rFont val="Arial Unicode MS"/>
        <family val="2"/>
      </rPr>
      <t xml:space="preserve">判优先上架。一票否决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禁售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需资质</t>
    </r>
    <r>
      <rPr>
        <i val="true"/>
        <sz val="9"/>
        <color rgb="FF404040"/>
        <rFont val="PingFang SC"/>
        <family val="0"/>
        <charset val="1"/>
      </rPr>
      <t xml:space="preserve">/IP</t>
    </r>
    <r>
      <rPr>
        <i val="true"/>
        <sz val="9"/>
        <color rgb="FF404040"/>
        <rFont val="Arial Unicode MS"/>
        <family val="2"/>
      </rPr>
      <t xml:space="preserve">无授权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带球队</t>
    </r>
    <r>
      <rPr>
        <i val="true"/>
        <sz val="9"/>
        <color rgb="FF404040"/>
        <rFont val="PingFang SC"/>
        <family val="0"/>
        <charset val="1"/>
      </rPr>
      <t xml:space="preserve">logo)</t>
    </r>
    <r>
      <rPr>
        <i val="true"/>
        <sz val="9"/>
        <color rgb="FF404040"/>
        <rFont val="Arial Unicode MS"/>
        <family val="2"/>
      </rPr>
      <t xml:space="preserve">直接淘汰、不进利润表。</t>
    </r>
    <r>
      <rPr>
        <i val="true"/>
        <sz val="9"/>
        <color rgb="FF404040"/>
        <rFont val="PingFang SC"/>
        <family val="0"/>
        <charset val="1"/>
      </rPr>
      <t xml:space="preserve">Top N/</t>
    </r>
    <r>
      <rPr>
        <i val="true"/>
        <sz val="9"/>
        <color rgb="FF404040"/>
        <rFont val="Arial Unicode MS"/>
        <family val="2"/>
      </rPr>
      <t xml:space="preserve">观察线见『参数配置』。</t>
    </r>
  </si>
  <si>
    <r>
      <rPr>
        <b val="true"/>
        <sz val="10"/>
        <color rgb="FF9C0006"/>
        <rFont val="Arial Unicode MS"/>
        <family val="2"/>
      </rPr>
      <t xml:space="preserve">权重</t>
    </r>
    <r>
      <rPr>
        <b val="true"/>
        <sz val="10"/>
        <color rgb="FF9C0006"/>
        <rFont val="PingFang SC"/>
        <family val="0"/>
        <charset val="1"/>
      </rPr>
      <t xml:space="preserve">(</t>
    </r>
    <r>
      <rPr>
        <b val="true"/>
        <sz val="10"/>
        <color rgb="FF9C0006"/>
        <rFont val="Arial Unicode MS"/>
        <family val="2"/>
      </rPr>
      <t xml:space="preserve">可调</t>
    </r>
    <r>
      <rPr>
        <b val="true"/>
        <sz val="10"/>
        <color rgb="FF9C0006"/>
        <rFont val="PingFang SC"/>
        <family val="0"/>
        <charset val="1"/>
      </rPr>
      <t xml:space="preserve">)→</t>
    </r>
  </si>
  <si>
    <t xml:space="preserve">禁限售</t>
  </si>
  <si>
    <r>
      <rPr>
        <b val="true"/>
        <sz val="10"/>
        <color rgb="FFFFFFFF"/>
        <rFont val="PingFang SC"/>
        <family val="0"/>
        <charset val="1"/>
      </rPr>
      <t xml:space="preserve">IP</t>
    </r>
    <r>
      <rPr>
        <b val="true"/>
        <sz val="10"/>
        <color rgb="FFFFFFFF"/>
        <rFont val="Arial Unicode MS"/>
        <family val="2"/>
      </rPr>
      <t xml:space="preserve">无授权</t>
    </r>
  </si>
  <si>
    <r>
      <rPr>
        <b val="true"/>
        <sz val="10"/>
        <color rgb="FFFFFFFF"/>
        <rFont val="Arial Unicode MS"/>
        <family val="2"/>
      </rPr>
      <t xml:space="preserve">带球队</t>
    </r>
    <r>
      <rPr>
        <b val="true"/>
        <sz val="10"/>
        <color rgb="FFFFFFFF"/>
        <rFont val="PingFang SC"/>
        <family val="0"/>
        <charset val="1"/>
      </rPr>
      <t xml:space="preserve">logo</t>
    </r>
  </si>
  <si>
    <t xml:space="preserve">一票否决</t>
  </si>
  <si>
    <r>
      <rPr>
        <b val="true"/>
        <sz val="10"/>
        <color rgb="FFFFFFFF"/>
        <rFont val="Arial Unicode MS"/>
        <family val="2"/>
      </rPr>
      <t xml:space="preserve">客单价</t>
    </r>
    <r>
      <rPr>
        <b val="true"/>
        <sz val="10"/>
        <color rgb="FFFFFFFF"/>
        <rFont val="PingFang SC"/>
        <family val="0"/>
        <charset val="1"/>
      </rPr>
      <t xml:space="preserve">/</t>
    </r>
    <r>
      <rPr>
        <b val="true"/>
        <sz val="10"/>
        <color rgb="FFFFFFFF"/>
        <rFont val="Arial Unicode MS"/>
        <family val="2"/>
      </rPr>
      <t xml:space="preserve">利润空间</t>
    </r>
  </si>
  <si>
    <r>
      <rPr>
        <b val="true"/>
        <sz val="10"/>
        <color rgb="FFFFFFFF"/>
        <rFont val="Arial Unicode MS"/>
        <family val="2"/>
      </rPr>
      <t xml:space="preserve">扛运费能力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轻小件优先</t>
    </r>
    <r>
      <rPr>
        <b val="true"/>
        <sz val="10"/>
        <color rgb="FFFFFFFF"/>
        <rFont val="PingFang SC"/>
        <family val="0"/>
        <charset val="1"/>
      </rPr>
      <t xml:space="preserve">)</t>
    </r>
  </si>
  <si>
    <r>
      <rPr>
        <b val="true"/>
        <sz val="10"/>
        <color rgb="FFFFFFFF"/>
        <rFont val="Arial Unicode MS"/>
        <family val="2"/>
      </rPr>
      <t xml:space="preserve">需求热度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数据罗盘</t>
    </r>
    <r>
      <rPr>
        <b val="true"/>
        <sz val="10"/>
        <color rgb="FFFFFFFF"/>
        <rFont val="PingFang SC"/>
        <family val="0"/>
        <charset val="1"/>
      </rPr>
      <t xml:space="preserve">)</t>
    </r>
  </si>
  <si>
    <r>
      <rPr>
        <b val="true"/>
        <sz val="10"/>
        <color rgb="FFFFFFFF"/>
        <rFont val="Arial Unicode MS"/>
        <family val="2"/>
      </rPr>
      <t xml:space="preserve">竞争度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蓝海高分</t>
    </r>
    <r>
      <rPr>
        <b val="true"/>
        <sz val="10"/>
        <color rgb="FFFFFFFF"/>
        <rFont val="PingFang SC"/>
        <family val="0"/>
        <charset val="1"/>
      </rPr>
      <t xml:space="preserve">)</t>
    </r>
  </si>
  <si>
    <r>
      <rPr>
        <b val="true"/>
        <sz val="10"/>
        <color rgb="FFFFFFFF"/>
        <rFont val="Arial Unicode MS"/>
        <family val="2"/>
      </rPr>
      <t xml:space="preserve">退货风险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低风险高分</t>
    </r>
    <r>
      <rPr>
        <b val="true"/>
        <sz val="10"/>
        <color rgb="FFFFFFFF"/>
        <rFont val="PingFang SC"/>
        <family val="0"/>
        <charset val="1"/>
      </rPr>
      <t xml:space="preserve">)</t>
    </r>
  </si>
  <si>
    <r>
      <rPr>
        <b val="true"/>
        <sz val="10"/>
        <color rgb="FFFFFFFF"/>
        <rFont val="Arial Unicode MS"/>
        <family val="2"/>
      </rPr>
      <t xml:space="preserve">趋势</t>
    </r>
    <r>
      <rPr>
        <b val="true"/>
        <sz val="10"/>
        <color rgb="FFFFFFFF"/>
        <rFont val="PingFang SC"/>
        <family val="0"/>
        <charset val="1"/>
      </rPr>
      <t xml:space="preserve">/</t>
    </r>
    <r>
      <rPr>
        <b val="true"/>
        <sz val="10"/>
        <color rgb="FFFFFFFF"/>
        <rFont val="Arial Unicode MS"/>
        <family val="2"/>
      </rPr>
      <t xml:space="preserve">季节契合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斋月等</t>
    </r>
    <r>
      <rPr>
        <b val="true"/>
        <sz val="10"/>
        <color rgb="FFFFFFFF"/>
        <rFont val="PingFang SC"/>
        <family val="0"/>
        <charset val="1"/>
      </rPr>
      <t xml:space="preserve">)</t>
    </r>
  </si>
  <si>
    <t xml:space="preserve">清真合规契合</t>
  </si>
  <si>
    <t xml:space="preserve">加权总分</t>
  </si>
  <si>
    <t xml:space="preserve">排名</t>
  </si>
  <si>
    <t xml:space="preserve">建议</t>
  </si>
  <si>
    <t xml:space="preserve">否</t>
  </si>
  <si>
    <r>
      <rPr>
        <b val="true"/>
        <sz val="14"/>
        <color rgb="FFFFFFFF"/>
        <rFont val="Arial Unicode MS"/>
        <family val="2"/>
      </rPr>
      <t xml:space="preserve">利润计算 </t>
    </r>
    <r>
      <rPr>
        <b val="true"/>
        <sz val="14"/>
        <color rgb="FFFFFFFF"/>
        <rFont val="PingFang SC"/>
        <family val="0"/>
        <charset val="1"/>
      </rPr>
      <t xml:space="preserve">· </t>
    </r>
    <r>
      <rPr>
        <b val="true"/>
        <sz val="14"/>
        <color rgb="FFFFFFFF"/>
        <rFont val="Arial Unicode MS"/>
        <family val="2"/>
      </rPr>
      <t xml:space="preserve">多档售价试算 </t>
    </r>
    <r>
      <rPr>
        <b val="true"/>
        <sz val="14"/>
        <color rgb="FFFFFFFF"/>
        <rFont val="PingFang SC"/>
        <family val="0"/>
        <charset val="1"/>
      </rPr>
      <t xml:space="preserve">+ </t>
    </r>
    <r>
      <rPr>
        <b val="true"/>
        <sz val="14"/>
        <color rgb="FFFFFFFF"/>
        <rFont val="Arial Unicode MS"/>
        <family val="2"/>
      </rPr>
      <t xml:space="preserve">反解最低成交价红线</t>
    </r>
  </si>
  <si>
    <r>
      <rPr>
        <i val="true"/>
        <sz val="9"/>
        <color rgb="FF404040"/>
        <rFont val="Arial Unicode MS"/>
        <family val="2"/>
      </rPr>
      <t xml:space="preserve">蓝色列为输入（编号→自动带品名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进货价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禁限售）。费率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税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汇率全部引用『参数配置』。售价 </t>
    </r>
    <r>
      <rPr>
        <i val="true"/>
        <sz val="9"/>
        <color rgb="FF404040"/>
        <rFont val="PingFang SC"/>
        <family val="0"/>
        <charset val="1"/>
      </rPr>
      <t xml:space="preserve">&lt; </t>
    </r>
    <r>
      <rPr>
        <i val="true"/>
        <sz val="9"/>
        <color rgb="FF404040"/>
        <rFont val="Arial Unicode MS"/>
        <family val="2"/>
      </rPr>
      <t xml:space="preserve">保本价→标红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亏损</t>
    </r>
    <r>
      <rPr>
        <i val="true"/>
        <sz val="9"/>
        <color rgb="FF404040"/>
        <rFont val="PingFang SC"/>
        <family val="0"/>
        <charset val="1"/>
      </rPr>
      <t xml:space="preserve">)</t>
    </r>
    <r>
      <rPr>
        <i val="true"/>
        <sz val="9"/>
        <color rgb="FF404040"/>
        <rFont val="Arial Unicode MS"/>
        <family val="2"/>
      </rPr>
      <t xml:space="preserve">；保本价≤售价</t>
    </r>
    <r>
      <rPr>
        <i val="true"/>
        <sz val="9"/>
        <color rgb="FF404040"/>
        <rFont val="PingFang SC"/>
        <family val="0"/>
        <charset val="1"/>
      </rPr>
      <t xml:space="preserve">&lt;</t>
    </r>
    <r>
      <rPr>
        <i val="true"/>
        <sz val="9"/>
        <color rgb="FF404040"/>
        <rFont val="Arial Unicode MS"/>
        <family val="2"/>
      </rPr>
      <t xml:space="preserve">达标价→标黄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未达目标利润率</t>
    </r>
    <r>
      <rPr>
        <i val="true"/>
        <sz val="9"/>
        <color rgb="FF404040"/>
        <rFont val="PingFang SC"/>
        <family val="0"/>
        <charset val="1"/>
      </rPr>
      <t xml:space="preserve">)</t>
    </r>
    <r>
      <rPr>
        <i val="true"/>
        <sz val="9"/>
        <color rgb="FF404040"/>
        <rFont val="Arial Unicode MS"/>
        <family val="2"/>
      </rPr>
      <t xml:space="preserve">。禁售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需资质的</t>
    </r>
    <r>
      <rPr>
        <i val="true"/>
        <sz val="9"/>
        <color rgb="FF404040"/>
        <rFont val="PingFang SC"/>
        <family val="0"/>
        <charset val="1"/>
      </rPr>
      <t xml:space="preserve">SKU</t>
    </r>
    <r>
      <rPr>
        <i val="true"/>
        <sz val="9"/>
        <color rgb="FF404040"/>
        <rFont val="Arial Unicode MS"/>
        <family val="2"/>
      </rPr>
      <t xml:space="preserve">状态列会警示『不应进入利润表』。</t>
    </r>
  </si>
  <si>
    <r>
      <rPr>
        <b val="true"/>
        <sz val="10"/>
        <color rgb="FFFFFFFF"/>
        <rFont val="Arial Unicode MS"/>
        <family val="2"/>
      </rPr>
      <t xml:space="preserve">售价</t>
    </r>
    <r>
      <rPr>
        <b val="true"/>
        <sz val="10"/>
        <color rgb="FFFFFFFF"/>
        <rFont val="PingFang SC"/>
        <family val="0"/>
        <charset val="1"/>
      </rPr>
      <t xml:space="preserve">MYR</t>
    </r>
  </si>
  <si>
    <r>
      <rPr>
        <b val="true"/>
        <sz val="10"/>
        <color rgb="FFFFFFFF"/>
        <rFont val="Arial Unicode MS"/>
        <family val="2"/>
      </rPr>
      <t xml:space="preserve">跨境物流</t>
    </r>
    <r>
      <rPr>
        <b val="true"/>
        <sz val="10"/>
        <color rgb="FFFFFFFF"/>
        <rFont val="PingFang SC"/>
        <family val="0"/>
        <charset val="1"/>
      </rPr>
      <t xml:space="preserve">MYR</t>
    </r>
  </si>
  <si>
    <r>
      <rPr>
        <b val="true"/>
        <sz val="10"/>
        <color rgb="FFFFFFFF"/>
        <rFont val="Arial Unicode MS"/>
        <family val="2"/>
      </rPr>
      <t xml:space="preserve">活动让利</t>
    </r>
    <r>
      <rPr>
        <b val="true"/>
        <sz val="10"/>
        <color rgb="FFFFFFFF"/>
        <rFont val="PingFang SC"/>
        <family val="0"/>
        <charset val="1"/>
      </rPr>
      <t xml:space="preserve">%</t>
    </r>
  </si>
  <si>
    <r>
      <rPr>
        <b val="true"/>
        <sz val="10"/>
        <color rgb="FFFFFFFF"/>
        <rFont val="Arial Unicode MS"/>
        <family val="2"/>
      </rPr>
      <t xml:space="preserve">类目佣金率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本品</t>
    </r>
    <r>
      <rPr>
        <b val="true"/>
        <sz val="10"/>
        <color rgb="FFFFFFFF"/>
        <rFont val="PingFang SC"/>
        <family val="0"/>
        <charset val="1"/>
      </rPr>
      <t xml:space="preserve">)</t>
    </r>
  </si>
  <si>
    <r>
      <rPr>
        <b val="true"/>
        <sz val="10"/>
        <color rgb="FFFFFFFF"/>
        <rFont val="Arial Unicode MS"/>
        <family val="2"/>
      </rPr>
      <t xml:space="preserve">进货成本</t>
    </r>
    <r>
      <rPr>
        <b val="true"/>
        <sz val="10"/>
        <color rgb="FFFFFFFF"/>
        <rFont val="PingFang SC"/>
        <family val="0"/>
        <charset val="1"/>
      </rPr>
      <t xml:space="preserve">MYR</t>
    </r>
  </si>
  <si>
    <t xml:space="preserve">佣金</t>
  </si>
  <si>
    <t xml:space="preserve">达人佣金</t>
  </si>
  <si>
    <r>
      <rPr>
        <b val="true"/>
        <sz val="10"/>
        <color rgb="FFFFFFFF"/>
        <rFont val="PingFang SC"/>
        <family val="0"/>
        <charset val="1"/>
      </rPr>
      <t xml:space="preserve">LVG</t>
    </r>
    <r>
      <rPr>
        <b val="true"/>
        <sz val="10"/>
        <color rgb="FFFFFFFF"/>
        <rFont val="Arial Unicode MS"/>
        <family val="2"/>
      </rPr>
      <t xml:space="preserve">税</t>
    </r>
  </si>
  <si>
    <t xml:space="preserve">活动让利</t>
  </si>
  <si>
    <t xml:space="preserve">退款损耗</t>
  </si>
  <si>
    <t xml:space="preserve">广告预留</t>
  </si>
  <si>
    <r>
      <rPr>
        <b val="true"/>
        <sz val="10"/>
        <color rgb="FFFFFFFF"/>
        <rFont val="Arial Unicode MS"/>
        <family val="2"/>
      </rPr>
      <t xml:space="preserve">总成本</t>
    </r>
    <r>
      <rPr>
        <b val="true"/>
        <sz val="10"/>
        <color rgb="FFFFFFFF"/>
        <rFont val="PingFang SC"/>
        <family val="0"/>
        <charset val="1"/>
      </rPr>
      <t xml:space="preserve">MYR</t>
    </r>
  </si>
  <si>
    <r>
      <rPr>
        <b val="true"/>
        <sz val="10"/>
        <color rgb="FFFFFFFF"/>
        <rFont val="Arial Unicode MS"/>
        <family val="2"/>
      </rPr>
      <t xml:space="preserve">利润</t>
    </r>
    <r>
      <rPr>
        <b val="true"/>
        <sz val="10"/>
        <color rgb="FFFFFFFF"/>
        <rFont val="PingFang SC"/>
        <family val="0"/>
        <charset val="1"/>
      </rPr>
      <t xml:space="preserve">MYR</t>
    </r>
  </si>
  <si>
    <t xml:space="preserve">利润率</t>
  </si>
  <si>
    <r>
      <rPr>
        <b val="true"/>
        <sz val="10"/>
        <color rgb="FFFFFFFF"/>
        <rFont val="Arial Unicode MS"/>
        <family val="2"/>
      </rPr>
      <t xml:space="preserve">利润</t>
    </r>
    <r>
      <rPr>
        <b val="true"/>
        <sz val="10"/>
        <color rgb="FFFFFFFF"/>
        <rFont val="PingFang SC"/>
        <family val="0"/>
        <charset val="1"/>
      </rPr>
      <t xml:space="preserve">RMB</t>
    </r>
  </si>
  <si>
    <r>
      <rPr>
        <b val="true"/>
        <sz val="10"/>
        <color rgb="FFFFFFFF"/>
        <rFont val="Arial Unicode MS"/>
        <family val="2"/>
      </rPr>
      <t xml:space="preserve">贡献率</t>
    </r>
    <r>
      <rPr>
        <b val="true"/>
        <sz val="10"/>
        <color rgb="FFFFFFFF"/>
        <rFont val="PingFang SC"/>
        <family val="0"/>
        <charset val="1"/>
      </rPr>
      <t xml:space="preserve">m</t>
    </r>
  </si>
  <si>
    <r>
      <rPr>
        <b val="true"/>
        <sz val="10"/>
        <color rgb="FFFFFFFF"/>
        <rFont val="Arial Unicode MS"/>
        <family val="2"/>
      </rPr>
      <t xml:space="preserve">固定成本</t>
    </r>
    <r>
      <rPr>
        <b val="true"/>
        <sz val="10"/>
        <color rgb="FFFFFFFF"/>
        <rFont val="PingFang SC"/>
        <family val="0"/>
        <charset val="1"/>
      </rPr>
      <t xml:space="preserve">MYR</t>
    </r>
  </si>
  <si>
    <r>
      <rPr>
        <b val="true"/>
        <sz val="10"/>
        <color rgb="FFFFFFFF"/>
        <rFont val="Arial Unicode MS"/>
        <family val="2"/>
      </rPr>
      <t xml:space="preserve">保本价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红线</t>
    </r>
    <r>
      <rPr>
        <b val="true"/>
        <sz val="10"/>
        <color rgb="FFFFFFFF"/>
        <rFont val="PingFang SC"/>
        <family val="0"/>
        <charset val="1"/>
      </rPr>
      <t xml:space="preserve">·</t>
    </r>
    <r>
      <rPr>
        <b val="true"/>
        <sz val="10"/>
        <color rgb="FFFFFFFF"/>
        <rFont val="Arial Unicode MS"/>
        <family val="2"/>
      </rPr>
      <t xml:space="preserve">亏损线</t>
    </r>
    <r>
      <rPr>
        <b val="true"/>
        <sz val="10"/>
        <color rgb="FFFFFFFF"/>
        <rFont val="PingFang SC"/>
        <family val="0"/>
        <charset val="1"/>
      </rPr>
      <t xml:space="preserve">)</t>
    </r>
  </si>
  <si>
    <r>
      <rPr>
        <b val="true"/>
        <sz val="10"/>
        <color rgb="FFFFFFFF"/>
        <rFont val="Arial Unicode MS"/>
        <family val="2"/>
      </rPr>
      <t xml:space="preserve">达标价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目标利润率</t>
    </r>
    <r>
      <rPr>
        <b val="true"/>
        <sz val="10"/>
        <color rgb="FFFFFFFF"/>
        <rFont val="PingFang SC"/>
        <family val="0"/>
        <charset val="1"/>
      </rPr>
      <t xml:space="preserve">)</t>
    </r>
  </si>
  <si>
    <t xml:space="preserve">状态提示</t>
  </si>
  <si>
    <r>
      <rPr>
        <b val="true"/>
        <sz val="14"/>
        <color rgb="FFFFFFFF"/>
        <rFont val="Arial Unicode MS"/>
        <family val="2"/>
      </rPr>
      <t xml:space="preserve">商品四象限分层 </t>
    </r>
    <r>
      <rPr>
        <b val="true"/>
        <sz val="14"/>
        <color rgb="FFFFFFFF"/>
        <rFont val="PingFang SC"/>
        <family val="0"/>
        <charset val="1"/>
      </rPr>
      <t xml:space="preserve">· </t>
    </r>
    <r>
      <rPr>
        <b val="true"/>
        <sz val="14"/>
        <color rgb="FFFFFFFF"/>
        <rFont val="Arial Unicode MS"/>
        <family val="2"/>
      </rPr>
      <t xml:space="preserve">漏斗诊断 </t>
    </r>
    <r>
      <rPr>
        <b val="true"/>
        <sz val="14"/>
        <color rgb="FFFFFFFF"/>
        <rFont val="PingFang SC"/>
        <family val="0"/>
        <charset val="1"/>
      </rPr>
      <t xml:space="preserve">+ </t>
    </r>
    <r>
      <rPr>
        <b val="true"/>
        <sz val="14"/>
        <color rgb="FFFFFFFF"/>
        <rFont val="Arial Unicode MS"/>
        <family val="2"/>
      </rPr>
      <t xml:space="preserve">自动建议</t>
    </r>
  </si>
  <si>
    <r>
      <rPr>
        <i val="true"/>
        <sz val="9"/>
        <color rgb="FF404040"/>
        <rFont val="Arial Unicode MS"/>
        <family val="2"/>
      </rPr>
      <t xml:space="preserve">上架后回填 曝光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点击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加购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成交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退款（蓝色）。三段漏斗：点击率</t>
    </r>
    <r>
      <rPr>
        <i val="true"/>
        <sz val="9"/>
        <color rgb="FF404040"/>
        <rFont val="PingFang SC"/>
        <family val="0"/>
        <charset val="1"/>
      </rPr>
      <t xml:space="preserve">=</t>
    </r>
    <r>
      <rPr>
        <i val="true"/>
        <sz val="9"/>
        <color rgb="FF404040"/>
        <rFont val="Arial Unicode MS"/>
        <family val="2"/>
      </rPr>
      <t xml:space="preserve">点击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曝光、加购率</t>
    </r>
    <r>
      <rPr>
        <i val="true"/>
        <sz val="9"/>
        <color rgb="FF404040"/>
        <rFont val="PingFang SC"/>
        <family val="0"/>
        <charset val="1"/>
      </rPr>
      <t xml:space="preserve">=</t>
    </r>
    <r>
      <rPr>
        <i val="true"/>
        <sz val="9"/>
        <color rgb="FF404040"/>
        <rFont val="Arial Unicode MS"/>
        <family val="2"/>
      </rPr>
      <t xml:space="preserve">加购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点击、成交率</t>
    </r>
    <r>
      <rPr>
        <i val="true"/>
        <sz val="9"/>
        <color rgb="FF404040"/>
        <rFont val="PingFang SC"/>
        <family val="0"/>
        <charset val="1"/>
      </rPr>
      <t xml:space="preserve">=</t>
    </r>
    <r>
      <rPr>
        <i val="true"/>
        <sz val="9"/>
        <color rgb="FF404040"/>
        <rFont val="Arial Unicode MS"/>
        <family val="2"/>
      </rPr>
      <t xml:space="preserve">成交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加购。流量轴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曝光</t>
    </r>
    <r>
      <rPr>
        <i val="true"/>
        <sz val="9"/>
        <color rgb="FF404040"/>
        <rFont val="PingFang SC"/>
        <family val="0"/>
        <charset val="1"/>
      </rPr>
      <t xml:space="preserve">)×</t>
    </r>
    <r>
      <rPr>
        <i val="true"/>
        <sz val="9"/>
        <color rgb="FF404040"/>
        <rFont val="Arial Unicode MS"/>
        <family val="2"/>
      </rPr>
      <t xml:space="preserve">转化轴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成交率</t>
    </r>
    <r>
      <rPr>
        <i val="true"/>
        <sz val="9"/>
        <color rgb="FF404040"/>
        <rFont val="PingFang SC"/>
        <family val="0"/>
        <charset val="1"/>
      </rPr>
      <t xml:space="preserve">)</t>
    </r>
    <r>
      <rPr>
        <i val="true"/>
        <sz val="9"/>
        <color rgb="FF404040"/>
        <rFont val="Arial Unicode MS"/>
        <family val="2"/>
      </rPr>
      <t xml:space="preserve">对『参数配置』阈值→自动判象限</t>
    </r>
    <r>
      <rPr>
        <i val="true"/>
        <sz val="9"/>
        <color rgb="FF404040"/>
        <rFont val="PingFang SC"/>
        <family val="0"/>
        <charset val="1"/>
      </rPr>
      <t xml:space="preserve">+</t>
    </r>
    <r>
      <rPr>
        <i val="true"/>
        <sz val="9"/>
        <color rgb="FF404040"/>
        <rFont val="Arial Unicode MS"/>
        <family val="2"/>
      </rPr>
      <t xml:space="preserve">建议动作。</t>
    </r>
  </si>
  <si>
    <t xml:space="preserve">曝光</t>
  </si>
  <si>
    <t xml:space="preserve">点击</t>
  </si>
  <si>
    <t xml:space="preserve">加购</t>
  </si>
  <si>
    <t xml:space="preserve">成交</t>
  </si>
  <si>
    <t xml:space="preserve">退款</t>
  </si>
  <si>
    <t xml:space="preserve">点击率</t>
  </si>
  <si>
    <t xml:space="preserve">加购率</t>
  </si>
  <si>
    <r>
      <rPr>
        <b val="true"/>
        <sz val="10"/>
        <color rgb="FFFFFFFF"/>
        <rFont val="Arial Unicode MS"/>
        <family val="2"/>
      </rPr>
      <t xml:space="preserve">成交率</t>
    </r>
    <r>
      <rPr>
        <b val="true"/>
        <sz val="10"/>
        <color rgb="FFFFFFFF"/>
        <rFont val="PingFang SC"/>
        <family val="0"/>
        <charset val="1"/>
      </rPr>
      <t xml:space="preserve">(</t>
    </r>
    <r>
      <rPr>
        <b val="true"/>
        <sz val="10"/>
        <color rgb="FFFFFFFF"/>
        <rFont val="Arial Unicode MS"/>
        <family val="2"/>
      </rPr>
      <t xml:space="preserve">成交</t>
    </r>
    <r>
      <rPr>
        <b val="true"/>
        <sz val="10"/>
        <color rgb="FFFFFFFF"/>
        <rFont val="PingFang SC"/>
        <family val="0"/>
        <charset val="1"/>
      </rPr>
      <t xml:space="preserve">/</t>
    </r>
    <r>
      <rPr>
        <b val="true"/>
        <sz val="10"/>
        <color rgb="FFFFFFFF"/>
        <rFont val="Arial Unicode MS"/>
        <family val="2"/>
      </rPr>
      <t xml:space="preserve">加购</t>
    </r>
    <r>
      <rPr>
        <b val="true"/>
        <sz val="10"/>
        <color rgb="FFFFFFFF"/>
        <rFont val="PingFang SC"/>
        <family val="0"/>
        <charset val="1"/>
      </rPr>
      <t xml:space="preserve">)</t>
    </r>
  </si>
  <si>
    <t xml:space="preserve">退款率</t>
  </si>
  <si>
    <t xml:space="preserve">流量分层</t>
  </si>
  <si>
    <t xml:space="preserve">转化分层</t>
  </si>
  <si>
    <t xml:space="preserve">象限</t>
  </si>
  <si>
    <t xml:space="preserve">建议动作</t>
  </si>
  <si>
    <t xml:space="preserve">退款预警</t>
  </si>
  <si>
    <r>
      <rPr>
        <b val="true"/>
        <sz val="14"/>
        <color rgb="FFFFFFFF"/>
        <rFont val="Arial Unicode MS"/>
        <family val="2"/>
      </rPr>
      <t xml:space="preserve">达人邀约话术库 </t>
    </r>
    <r>
      <rPr>
        <b val="true"/>
        <sz val="14"/>
        <color rgb="FFFFFFFF"/>
        <rFont val="PingFang SC"/>
        <family val="0"/>
        <charset val="1"/>
      </rPr>
      <t xml:space="preserve">· </t>
    </r>
    <r>
      <rPr>
        <b val="true"/>
        <sz val="14"/>
        <color rgb="FFFFFFFF"/>
        <rFont val="Arial Unicode MS"/>
        <family val="2"/>
      </rPr>
      <t xml:space="preserve">马来西亚（联系渠道优先 </t>
    </r>
    <r>
      <rPr>
        <b val="true"/>
        <sz val="14"/>
        <color rgb="FFFFFFFF"/>
        <rFont val="PingFang SC"/>
        <family val="0"/>
        <charset val="1"/>
      </rPr>
      <t xml:space="preserve">WhatsApp</t>
    </r>
    <r>
      <rPr>
        <b val="true"/>
        <sz val="14"/>
        <color rgb="FFFFFFFF"/>
        <rFont val="Arial Unicode MS"/>
        <family val="2"/>
      </rPr>
      <t xml:space="preserve">）</t>
    </r>
  </si>
  <si>
    <r>
      <rPr>
        <i val="true"/>
        <sz val="9"/>
        <color rgb="FF404040"/>
        <rFont val="Arial Unicode MS"/>
        <family val="2"/>
      </rPr>
      <t xml:space="preserve">用法：复制话术 → 替换 </t>
    </r>
    <r>
      <rPr>
        <i val="true"/>
        <sz val="9"/>
        <color rgb="FF404040"/>
        <rFont val="PingFang SC"/>
        <family val="0"/>
        <charset val="1"/>
      </rPr>
      <t xml:space="preserve">[</t>
    </r>
    <r>
      <rPr>
        <i val="true"/>
        <sz val="9"/>
        <color rgb="FF404040"/>
        <rFont val="Arial Unicode MS"/>
        <family val="2"/>
      </rPr>
      <t xml:space="preserve">占位符</t>
    </r>
    <r>
      <rPr>
        <i val="true"/>
        <sz val="9"/>
        <color rgb="FF404040"/>
        <rFont val="PingFang SC"/>
        <family val="0"/>
        <charset val="1"/>
      </rPr>
      <t xml:space="preserve">] → </t>
    </r>
    <r>
      <rPr>
        <i val="true"/>
        <sz val="9"/>
        <color rgb="FF404040"/>
        <rFont val="Arial Unicode MS"/>
        <family val="2"/>
      </rPr>
      <t xml:space="preserve">本地化润色后发送。占位符：</t>
    </r>
    <r>
      <rPr>
        <i val="true"/>
        <sz val="9"/>
        <color rgb="FF404040"/>
        <rFont val="PingFang SC"/>
        <family val="0"/>
        <charset val="1"/>
      </rPr>
      <t xml:space="preserve">[</t>
    </r>
    <r>
      <rPr>
        <i val="true"/>
        <sz val="9"/>
        <color rgb="FF404040"/>
        <rFont val="Arial Unicode MS"/>
        <family val="2"/>
      </rPr>
      <t xml:space="preserve">达人昵称</t>
    </r>
    <r>
      <rPr>
        <i val="true"/>
        <sz val="9"/>
        <color rgb="FF404040"/>
        <rFont val="PingFang SC"/>
        <family val="0"/>
        <charset val="1"/>
      </rPr>
      <t xml:space="preserve">]=creator</t>
    </r>
    <r>
      <rPr>
        <i val="true"/>
        <sz val="9"/>
        <color rgb="FF404040"/>
        <rFont val="Arial Unicode MS"/>
        <family val="2"/>
      </rPr>
      <t xml:space="preserve">｜</t>
    </r>
    <r>
      <rPr>
        <i val="true"/>
        <sz val="9"/>
        <color rgb="FF404040"/>
        <rFont val="PingFang SC"/>
        <family val="0"/>
        <charset val="1"/>
      </rPr>
      <t xml:space="preserve">[</t>
    </r>
    <r>
      <rPr>
        <i val="true"/>
        <sz val="9"/>
        <color rgb="FF404040"/>
        <rFont val="Arial Unicode MS"/>
        <family val="2"/>
      </rPr>
      <t xml:space="preserve">视频内容</t>
    </r>
    <r>
      <rPr>
        <i val="true"/>
        <sz val="9"/>
        <color rgb="FF404040"/>
        <rFont val="PingFang SC"/>
        <family val="0"/>
        <charset val="1"/>
      </rPr>
      <t xml:space="preserve">]=</t>
    </r>
    <r>
      <rPr>
        <i val="true"/>
        <sz val="9"/>
        <color rgb="FF404040"/>
        <rFont val="Arial Unicode MS"/>
        <family val="2"/>
      </rPr>
      <t xml:space="preserve">对方视频主题｜</t>
    </r>
    <r>
      <rPr>
        <i val="true"/>
        <sz val="9"/>
        <color rgb="FF404040"/>
        <rFont val="PingFang SC"/>
        <family val="0"/>
        <charset val="1"/>
      </rPr>
      <t xml:space="preserve">[</t>
    </r>
    <r>
      <rPr>
        <i val="true"/>
        <sz val="9"/>
        <color rgb="FF404040"/>
        <rFont val="Arial Unicode MS"/>
        <family val="2"/>
      </rPr>
      <t xml:space="preserve">品类</t>
    </r>
    <r>
      <rPr>
        <i val="true"/>
        <sz val="9"/>
        <color rgb="FF404040"/>
        <rFont val="PingFang SC"/>
        <family val="0"/>
        <charset val="1"/>
      </rPr>
      <t xml:space="preserve">]/[</t>
    </r>
    <r>
      <rPr>
        <i val="true"/>
        <sz val="9"/>
        <color rgb="FF404040"/>
        <rFont val="Arial Unicode MS"/>
        <family val="2"/>
      </rPr>
      <t xml:space="preserve">卖点</t>
    </r>
    <r>
      <rPr>
        <i val="true"/>
        <sz val="9"/>
        <color rgb="FF404040"/>
        <rFont val="PingFang SC"/>
        <family val="0"/>
        <charset val="1"/>
      </rPr>
      <t xml:space="preserve">]=</t>
    </r>
    <r>
      <rPr>
        <i val="true"/>
        <sz val="9"/>
        <color rgb="FF404040"/>
        <rFont val="Arial Unicode MS"/>
        <family val="2"/>
      </rPr>
      <t xml:space="preserve">你的货｜</t>
    </r>
    <r>
      <rPr>
        <i val="true"/>
        <sz val="9"/>
        <color rgb="FF404040"/>
        <rFont val="PingFang SC"/>
        <family val="0"/>
        <charset val="1"/>
      </rPr>
      <t xml:space="preserve">[X]%=</t>
    </r>
    <r>
      <rPr>
        <i val="true"/>
        <sz val="9"/>
        <color rgb="FF404040"/>
        <rFont val="Arial Unicode MS"/>
        <family val="2"/>
      </rPr>
      <t xml:space="preserve">佣金｜</t>
    </r>
    <r>
      <rPr>
        <i val="true"/>
        <sz val="9"/>
        <color rgb="FF404040"/>
        <rFont val="PingFang SC"/>
        <family val="0"/>
        <charset val="1"/>
      </rPr>
      <t xml:space="preserve">[</t>
    </r>
    <r>
      <rPr>
        <i val="true"/>
        <sz val="9"/>
        <color rgb="FF404040"/>
        <rFont val="Arial Unicode MS"/>
        <family val="2"/>
      </rPr>
      <t xml:space="preserve">物流单号</t>
    </r>
    <r>
      <rPr>
        <i val="true"/>
        <sz val="9"/>
        <color rgb="FF404040"/>
        <rFont val="PingFang SC"/>
        <family val="0"/>
        <charset val="1"/>
      </rPr>
      <t xml:space="preserve">][</t>
    </r>
    <r>
      <rPr>
        <i val="true"/>
        <sz val="9"/>
        <color rgb="FF404040"/>
        <rFont val="Arial Unicode MS"/>
        <family val="2"/>
      </rPr>
      <t xml:space="preserve">视频链接</t>
    </r>
    <r>
      <rPr>
        <i val="true"/>
        <sz val="9"/>
        <color rgb="FF404040"/>
        <rFont val="PingFang SC"/>
        <family val="0"/>
        <charset val="1"/>
      </rPr>
      <t xml:space="preserve">][</t>
    </r>
    <r>
      <rPr>
        <i val="true"/>
        <sz val="9"/>
        <color rgb="FF404040"/>
        <rFont val="Arial Unicode MS"/>
        <family val="2"/>
      </rPr>
      <t xml:space="preserve">金额</t>
    </r>
    <r>
      <rPr>
        <i val="true"/>
        <sz val="9"/>
        <color rgb="FF404040"/>
        <rFont val="PingFang SC"/>
        <family val="0"/>
        <charset val="1"/>
      </rPr>
      <t xml:space="preserve">][</t>
    </r>
    <r>
      <rPr>
        <i val="true"/>
        <sz val="9"/>
        <color rgb="FF404040"/>
        <rFont val="Arial Unicode MS"/>
        <family val="2"/>
      </rPr>
      <t xml:space="preserve">新品</t>
    </r>
    <r>
      <rPr>
        <i val="true"/>
        <sz val="9"/>
        <color rgb="FF404040"/>
        <rFont val="PingFang SC"/>
        <family val="0"/>
        <charset val="1"/>
      </rPr>
      <t xml:space="preserve">][</t>
    </r>
    <r>
      <rPr>
        <i val="true"/>
        <sz val="9"/>
        <color rgb="FF404040"/>
        <rFont val="Arial Unicode MS"/>
        <family val="2"/>
      </rPr>
      <t xml:space="preserve">脚本链接</t>
    </r>
    <r>
      <rPr>
        <i val="true"/>
        <sz val="9"/>
        <color rgb="FF404040"/>
        <rFont val="PingFang SC"/>
        <family val="0"/>
        <charset val="1"/>
      </rPr>
      <t xml:space="preserve">][</t>
    </r>
    <r>
      <rPr>
        <i val="true"/>
        <sz val="9"/>
        <color rgb="FF404040"/>
        <rFont val="Arial Unicode MS"/>
        <family val="2"/>
      </rPr>
      <t xml:space="preserve">店铺名</t>
    </r>
    <r>
      <rPr>
        <i val="true"/>
        <sz val="9"/>
        <color rgb="FF404040"/>
        <rFont val="PingFang SC"/>
        <family val="0"/>
        <charset val="1"/>
      </rPr>
      <t xml:space="preserve">][</t>
    </r>
    <r>
      <rPr>
        <i val="true"/>
        <sz val="9"/>
        <color rgb="FF404040"/>
        <rFont val="Arial Unicode MS"/>
        <family val="2"/>
      </rPr>
      <t xml:space="preserve">你的名字</t>
    </r>
    <r>
      <rPr>
        <i val="true"/>
        <sz val="9"/>
        <color rgb="FF404040"/>
        <rFont val="PingFang SC"/>
        <family val="0"/>
        <charset val="1"/>
      </rPr>
      <t xml:space="preserve">]</t>
    </r>
    <r>
      <rPr>
        <i val="true"/>
        <sz val="9"/>
        <color rgb="FF404040"/>
        <rFont val="Arial Unicode MS"/>
        <family val="2"/>
      </rPr>
      <t xml:space="preserve">。原则：简短</t>
    </r>
    <r>
      <rPr>
        <i val="true"/>
        <sz val="9"/>
        <color rgb="FF404040"/>
        <rFont val="PingFang SC"/>
        <family val="0"/>
        <charset val="1"/>
      </rPr>
      <t xml:space="preserve">·emoji</t>
    </r>
    <r>
      <rPr>
        <i val="true"/>
        <sz val="9"/>
        <color rgb="FF404040"/>
        <rFont val="Arial Unicode MS"/>
        <family val="2"/>
      </rPr>
      <t xml:space="preserve">点缀</t>
    </r>
    <r>
      <rPr>
        <i val="true"/>
        <sz val="9"/>
        <color rgb="FF404040"/>
        <rFont val="PingFang SC"/>
        <family val="0"/>
        <charset val="1"/>
      </rPr>
      <t xml:space="preserve">·</t>
    </r>
    <r>
      <rPr>
        <i val="true"/>
        <sz val="9"/>
        <color rgb="FF404040"/>
        <rFont val="Arial Unicode MS"/>
        <family val="2"/>
      </rPr>
      <t xml:space="preserve">提对方具体视频</t>
    </r>
    <r>
      <rPr>
        <i val="true"/>
        <sz val="9"/>
        <color rgb="FF404040"/>
        <rFont val="PingFang SC"/>
        <family val="0"/>
        <charset val="1"/>
      </rPr>
      <t xml:space="preserve">·</t>
    </r>
    <r>
      <rPr>
        <i val="true"/>
        <sz val="9"/>
        <color rgb="FF404040"/>
        <rFont val="Arial Unicode MS"/>
        <family val="2"/>
      </rPr>
      <t xml:space="preserve">讲清利益点</t>
    </r>
    <r>
      <rPr>
        <i val="true"/>
        <sz val="9"/>
        <color rgb="FF404040"/>
        <rFont val="PingFang SC"/>
        <family val="0"/>
        <charset val="1"/>
      </rPr>
      <t xml:space="preserve">·</t>
    </r>
    <r>
      <rPr>
        <i val="true"/>
        <sz val="9"/>
        <color rgb="FF404040"/>
        <rFont val="Arial Unicode MS"/>
        <family val="2"/>
      </rPr>
      <t xml:space="preserve">尊重意愿</t>
    </r>
    <r>
      <rPr>
        <i val="true"/>
        <sz val="9"/>
        <color rgb="FF404040"/>
        <rFont val="PingFang SC"/>
        <family val="0"/>
        <charset val="1"/>
      </rPr>
      <t xml:space="preserve">·</t>
    </r>
    <r>
      <rPr>
        <i val="true"/>
        <sz val="9"/>
        <color rgb="FF404040"/>
        <rFont val="Arial Unicode MS"/>
        <family val="2"/>
      </rPr>
      <t xml:space="preserve">多版本</t>
    </r>
    <r>
      <rPr>
        <i val="true"/>
        <sz val="9"/>
        <color rgb="FF404040"/>
        <rFont val="PingFang SC"/>
        <family val="0"/>
        <charset val="1"/>
      </rPr>
      <t xml:space="preserve">A/B</t>
    </r>
    <r>
      <rPr>
        <i val="true"/>
        <sz val="9"/>
        <color rgb="FF404040"/>
        <rFont val="Arial Unicode MS"/>
        <family val="2"/>
      </rPr>
      <t xml:space="preserve">测试。佣金率示例 </t>
    </r>
    <r>
      <rPr>
        <i val="true"/>
        <sz val="9"/>
        <color rgb="FF404040"/>
        <rFont val="PingFang SC"/>
        <family val="0"/>
        <charset val="1"/>
      </rPr>
      <t xml:space="preserve">5%(</t>
    </r>
    <r>
      <rPr>
        <i val="true"/>
        <sz val="9"/>
        <color rgb="FF404040"/>
        <rFont val="Arial Unicode MS"/>
        <family val="2"/>
      </rPr>
      <t xml:space="preserve">视频</t>
    </r>
    <r>
      <rPr>
        <i val="true"/>
        <sz val="9"/>
        <color rgb="FF404040"/>
        <rFont val="PingFang SC"/>
        <family val="0"/>
        <charset val="1"/>
      </rPr>
      <t xml:space="preserve">)/8–15%(</t>
    </r>
    <r>
      <rPr>
        <i val="true"/>
        <sz val="9"/>
        <color rgb="FF404040"/>
        <rFont val="Arial Unicode MS"/>
        <family val="2"/>
      </rPr>
      <t xml:space="preserve">主推直播</t>
    </r>
    <r>
      <rPr>
        <i val="true"/>
        <sz val="9"/>
        <color rgb="FF404040"/>
        <rFont val="PingFang SC"/>
        <family val="0"/>
        <charset val="1"/>
      </rPr>
      <t xml:space="preserve">)</t>
    </r>
    <r>
      <rPr>
        <i val="true"/>
        <sz val="9"/>
        <color rgb="FF404040"/>
        <rFont val="Arial Unicode MS"/>
        <family val="2"/>
      </rPr>
      <t xml:space="preserve">，均为示例，签约前以谈判与后台为准。</t>
    </r>
  </si>
  <si>
    <t xml:space="preserve">场景</t>
  </si>
  <si>
    <t xml:space="preserve">渠道</t>
  </si>
  <si>
    <t xml:space="preserve">语言</t>
  </si>
  <si>
    <r>
      <rPr>
        <b val="true"/>
        <sz val="10"/>
        <color rgb="FFFFFFFF"/>
        <rFont val="Arial Unicode MS"/>
        <family val="2"/>
      </rPr>
      <t xml:space="preserve">话术（含 </t>
    </r>
    <r>
      <rPr>
        <b val="true"/>
        <sz val="10"/>
        <color rgb="FFFFFFFF"/>
        <rFont val="PingFang SC"/>
        <family val="0"/>
        <charset val="1"/>
      </rPr>
      <t xml:space="preserve">[</t>
    </r>
    <r>
      <rPr>
        <b val="true"/>
        <sz val="10"/>
        <color rgb="FFFFFFFF"/>
        <rFont val="Arial Unicode MS"/>
        <family val="2"/>
      </rPr>
      <t xml:space="preserve">占位符</t>
    </r>
    <r>
      <rPr>
        <b val="true"/>
        <sz val="10"/>
        <color rgb="FFFFFFFF"/>
        <rFont val="PingFang SC"/>
        <family val="0"/>
        <charset val="1"/>
      </rPr>
      <t xml:space="preserve">]</t>
    </r>
    <r>
      <rPr>
        <b val="true"/>
        <sz val="10"/>
        <color rgb="FFFFFFFF"/>
        <rFont val="Arial Unicode MS"/>
        <family val="2"/>
      </rPr>
      <t xml:space="preserve">）</t>
    </r>
  </si>
  <si>
    <r>
      <rPr>
        <b val="true"/>
        <sz val="10"/>
        <color rgb="FF000000"/>
        <rFont val="Arial Unicode MS"/>
        <family val="2"/>
      </rPr>
      <t xml:space="preserve">破冰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官方参考</t>
    </r>
  </si>
  <si>
    <t xml:space="preserve">WhatsApp</t>
  </si>
  <si>
    <t xml:space="preserve">English</t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</si>
  <si>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]! Love your video about [</t>
    </r>
    <r>
      <rPr>
        <sz val="10"/>
        <color rgb="FF000000"/>
        <rFont val="Arial Unicode MS"/>
        <family val="2"/>
      </rPr>
      <t xml:space="preserve">视频内容</t>
    </r>
    <r>
      <rPr>
        <sz val="10"/>
        <color rgb="FF000000"/>
        <rFont val="PingFang SC"/>
        <family val="0"/>
        <charset val="1"/>
      </rPr>
      <t xml:space="preserve">]! Our new store has similar [</t>
    </r>
    <r>
      <rPr>
        <sz val="10"/>
        <color rgb="FF000000"/>
        <rFont val="Arial Unicode MS"/>
        <family val="2"/>
      </rPr>
      <t xml:space="preserve">品类</t>
    </r>
    <r>
      <rPr>
        <sz val="10"/>
        <color rgb="FF000000"/>
        <rFont val="PingFang SC"/>
        <family val="0"/>
        <charset val="1"/>
      </rPr>
      <t xml:space="preserve">] that would look perfect on you. Would you be open to a free sample? 😊</t>
    </r>
  </si>
  <si>
    <t xml:space="preserve">官方参考破冰；务必提到对方具体视频，避免群发被识破。</t>
  </si>
  <si>
    <t xml:space="preserve">Bahasa Melayu</t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</si>
  <si>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]! Saya suka sangat video anda tentang [</t>
    </r>
    <r>
      <rPr>
        <sz val="10"/>
        <color rgb="FF1F4E5F"/>
        <rFont val="Arial Unicode MS"/>
        <family val="2"/>
      </rPr>
      <t xml:space="preserve">视频内容</t>
    </r>
    <r>
      <rPr>
        <sz val="10"/>
        <color rgb="FF1F4E5F"/>
        <rFont val="PingFang SC"/>
        <family val="0"/>
        <charset val="1"/>
      </rPr>
      <t xml:space="preserve">]! 😊 Kedai baharu kami ada [</t>
    </r>
    <r>
      <rPr>
        <sz val="10"/>
        <color rgb="FF1F4E5F"/>
        <rFont val="Arial Unicode MS"/>
        <family val="2"/>
      </rPr>
      <t xml:space="preserve">品类</t>
    </r>
    <r>
      <rPr>
        <sz val="10"/>
        <color rgb="FF1F4E5F"/>
        <rFont val="PingFang SC"/>
        <family val="0"/>
        <charset val="1"/>
      </rPr>
      <t xml:space="preserve">] yang serupa — confirm sesuai dengan anda. Berminat untuk terima sampel percuma?</t>
    </r>
  </si>
  <si>
    <r>
      <rPr>
        <b val="true"/>
        <sz val="10"/>
        <color rgb="FF000000"/>
        <rFont val="Arial Unicode MS"/>
        <family val="2"/>
      </rPr>
      <t xml:space="preserve">首次邀约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有礼版</t>
    </r>
  </si>
  <si>
    <r>
      <rPr>
        <sz val="10"/>
        <color rgb="FF000000"/>
        <rFont val="PingFang SC"/>
        <family val="0"/>
        <charset val="1"/>
      </rPr>
      <t xml:space="preserve">Hi, I'm [</t>
    </r>
    <r>
      <rPr>
        <sz val="10"/>
        <color rgb="FF000000"/>
        <rFont val="Arial Unicode MS"/>
        <family val="2"/>
      </rPr>
      <t xml:space="preserve">你的名字</t>
    </r>
    <r>
      <rPr>
        <sz val="10"/>
        <color rgb="FF000000"/>
        <rFont val="PingFang SC"/>
        <family val="0"/>
        <charset val="1"/>
      </rPr>
      <t xml:space="preserve">] from [</t>
    </r>
    <r>
      <rPr>
        <sz val="10"/>
        <color rgb="FF000000"/>
        <rFont val="Arial Unicode MS"/>
        <family val="2"/>
      </rPr>
      <t xml:space="preserve">店铺名</t>
    </r>
    <r>
      <rPr>
        <sz val="10"/>
        <color rgb="FF000000"/>
        <rFont val="PingFang SC"/>
        <family val="0"/>
        <charset val="1"/>
      </rPr>
      <t xml:space="preserve">]. We love your videos and would like to invite you to promote our products. If you're interested, please let me know. We'd like to offer you commission + product video materials. Look forward to hearing from you! 😊</t>
    </r>
  </si>
  <si>
    <t xml:space="preserve">出自《达人合作邀请文案参考》马来部分，语气有礼，适合品牌店。</t>
  </si>
  <si>
    <r>
      <rPr>
        <sz val="10"/>
        <color rgb="FF1F4E5F"/>
        <rFont val="PingFang SC"/>
        <family val="0"/>
        <charset val="1"/>
      </rPr>
      <t xml:space="preserve">Hai, saya [</t>
    </r>
    <r>
      <rPr>
        <sz val="10"/>
        <color rgb="FF1F4E5F"/>
        <rFont val="Arial Unicode MS"/>
        <family val="2"/>
      </rPr>
      <t xml:space="preserve">你的名字</t>
    </r>
    <r>
      <rPr>
        <sz val="10"/>
        <color rgb="FF1F4E5F"/>
        <rFont val="PingFang SC"/>
        <family val="0"/>
        <charset val="1"/>
      </rPr>
      <t xml:space="preserve">] dari kedai [</t>
    </r>
    <r>
      <rPr>
        <sz val="10"/>
        <color rgb="FF1F4E5F"/>
        <rFont val="Arial Unicode MS"/>
        <family val="2"/>
      </rPr>
      <t xml:space="preserve">店铺名</t>
    </r>
    <r>
      <rPr>
        <sz val="10"/>
        <color rgb="FF1F4E5F"/>
        <rFont val="PingFang SC"/>
        <family val="0"/>
        <charset val="1"/>
      </rPr>
      <t xml:space="preserve">]. Kami sangat menyukai video anda dan ingin menjemput anda untuk mempromosikan produk kami. Jika anda berminat, sila beritahu saya. Kami ingin menawarkan anda komisen + bahan kandungan video produk. Berharap untuk mendengar daripada anda! 😊</t>
    </r>
  </si>
  <si>
    <t xml:space="preserve">原文马来语版（直接可用）。</t>
  </si>
  <si>
    <r>
      <rPr>
        <b val="true"/>
        <sz val="10"/>
        <color rgb="FF000000"/>
        <rFont val="Arial Unicode MS"/>
        <family val="2"/>
      </rPr>
      <t xml:space="preserve">定向邀请</t>
    </r>
    <r>
      <rPr>
        <b val="true"/>
        <sz val="10"/>
        <color rgb="FF000000"/>
        <rFont val="PingFang SC"/>
        <family val="0"/>
        <charset val="1"/>
      </rPr>
      <t xml:space="preserve">(</t>
    </r>
    <r>
      <rPr>
        <b val="true"/>
        <sz val="10"/>
        <color rgb="FF000000"/>
        <rFont val="Arial Unicode MS"/>
        <family val="2"/>
      </rPr>
      <t xml:space="preserve">带卖点</t>
    </r>
    <r>
      <rPr>
        <b val="true"/>
        <sz val="10"/>
        <color rgb="FF000000"/>
        <rFont val="PingFang SC"/>
        <family val="0"/>
        <charset val="1"/>
      </rPr>
      <t xml:space="preserve">+</t>
    </r>
    <r>
      <rPr>
        <b val="true"/>
        <sz val="10"/>
        <color rgb="FF000000"/>
        <rFont val="Arial Unicode MS"/>
        <family val="2"/>
      </rPr>
      <t xml:space="preserve">利益点</t>
    </r>
    <r>
      <rPr>
        <b val="true"/>
        <sz val="10"/>
        <color rgb="FF000000"/>
        <rFont val="PingFang SC"/>
        <family val="0"/>
        <charset val="1"/>
      </rPr>
      <t xml:space="preserve">)</t>
    </r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</si>
  <si>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 🥰 We're [</t>
    </r>
    <r>
      <rPr>
        <sz val="10"/>
        <color rgb="FF000000"/>
        <rFont val="Arial Unicode MS"/>
        <family val="2"/>
      </rPr>
      <t xml:space="preserve">店铺名</t>
    </r>
    <r>
      <rPr>
        <sz val="10"/>
        <color rgb="FF000000"/>
        <rFont val="PingFang SC"/>
        <family val="0"/>
        <charset val="1"/>
      </rPr>
      <t xml:space="preserve">] and would love you to promote our [</t>
    </r>
    <r>
      <rPr>
        <sz val="10"/>
        <color rgb="FF000000"/>
        <rFont val="Arial Unicode MS"/>
        <family val="2"/>
      </rPr>
      <t xml:space="preserve">品类</t>
    </r>
    <r>
      <rPr>
        <sz val="10"/>
        <color rgb="FF000000"/>
        <rFont val="PingFang SC"/>
        <family val="0"/>
        <charset val="1"/>
      </rPr>
      <t xml:space="preserve">]. Key selling points: [</t>
    </r>
    <r>
      <rPr>
        <sz val="10"/>
        <color rgb="FF000000"/>
        <rFont val="Arial Unicode MS"/>
        <family val="2"/>
      </rPr>
      <t xml:space="preserve">卖点</t>
    </r>
    <r>
      <rPr>
        <sz val="10"/>
        <color rgb="FF000000"/>
        <rFont val="PingFang SC"/>
        <family val="0"/>
        <charset val="1"/>
      </rPr>
      <t xml:space="preserve">] — a great match for your followers! We offer [free sample 🎁 / [X]% commission / paid boost on top videos]. Contact us if you're interested — can't wait! 🤩</t>
    </r>
  </si>
  <si>
    <t xml:space="preserve">掘金宝典定向邀请结构。</t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</si>
  <si>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 🥰 Kami dari [</t>
    </r>
    <r>
      <rPr>
        <sz val="10"/>
        <color rgb="FF1F4E5F"/>
        <rFont val="Arial Unicode MS"/>
        <family val="2"/>
      </rPr>
      <t xml:space="preserve">店铺名</t>
    </r>
    <r>
      <rPr>
        <sz val="10"/>
        <color rgb="FF1F4E5F"/>
        <rFont val="PingFang SC"/>
        <family val="0"/>
        <charset val="1"/>
      </rPr>
      <t xml:space="preserve">], ingin menjemput anda mempromosikan [</t>
    </r>
    <r>
      <rPr>
        <sz val="10"/>
        <color rgb="FF1F4E5F"/>
        <rFont val="Arial Unicode MS"/>
        <family val="2"/>
      </rPr>
      <t xml:space="preserve">品类</t>
    </r>
    <r>
      <rPr>
        <sz val="10"/>
        <color rgb="FF1F4E5F"/>
        <rFont val="PingFang SC"/>
        <family val="0"/>
        <charset val="1"/>
      </rPr>
      <t xml:space="preserve">] kami. Kelebihan utama: [</t>
    </r>
    <r>
      <rPr>
        <sz val="10"/>
        <color rgb="FF1F4E5F"/>
        <rFont val="Arial Unicode MS"/>
        <family val="2"/>
      </rPr>
      <t xml:space="preserve">卖点</t>
    </r>
    <r>
      <rPr>
        <sz val="10"/>
        <color rgb="FF1F4E5F"/>
        <rFont val="PingFang SC"/>
        <family val="0"/>
        <charset val="1"/>
      </rPr>
      <t xml:space="preserve">] — sangat sepadan dengan peminat anda! Kami sediakan [sampel percuma 🎁 / komisen [X]% / sokongan iklan untuk video terbaik]. Hubungi kami kalau berminat — sangat dinantikan! 🤩</t>
    </r>
  </si>
  <si>
    <r>
      <rPr>
        <b val="true"/>
        <sz val="10"/>
        <color rgb="FF000000"/>
        <rFont val="Arial Unicode MS"/>
        <family val="2"/>
      </rPr>
      <t xml:space="preserve">初次陌生触达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三段式框架</t>
    </r>
  </si>
  <si>
    <r>
      <rPr>
        <sz val="10"/>
        <color rgb="FF000000"/>
        <rFont val="Arial Unicode MS"/>
        <family val="2"/>
      </rPr>
      <t xml:space="preserve">框架</t>
    </r>
    <r>
      <rPr>
        <sz val="10"/>
        <color rgb="FF000000"/>
        <rFont val="PingFang SC"/>
        <family val="0"/>
        <charset val="1"/>
      </rPr>
      <t xml:space="preserve">/Framework</t>
    </r>
  </si>
  <si>
    <r>
      <rPr>
        <sz val="10"/>
        <color rgb="FF000000"/>
        <rFont val="Arial Unicode MS"/>
        <family val="2"/>
      </rPr>
      <t xml:space="preserve">① 自我介绍</t>
    </r>
    <r>
      <rPr>
        <sz val="10"/>
        <color rgb="FF000000"/>
        <rFont val="PingFang SC"/>
        <family val="0"/>
        <charset val="1"/>
      </rPr>
      <t xml:space="preserve">+</t>
    </r>
    <r>
      <rPr>
        <sz val="10"/>
        <color rgb="FF000000"/>
        <rFont val="Arial Unicode MS"/>
        <family val="2"/>
      </rPr>
      <t xml:space="preserve">公司背书（例『我们是马来 </t>
    </r>
    <r>
      <rPr>
        <sz val="10"/>
        <color rgb="FF000000"/>
        <rFont val="PingFang SC"/>
        <family val="0"/>
        <charset val="1"/>
      </rPr>
      <t xml:space="preserve">TikTok Shop [</t>
    </r>
    <r>
      <rPr>
        <sz val="10"/>
        <color rgb="FF000000"/>
        <rFont val="Arial Unicode MS"/>
        <family val="2"/>
      </rPr>
      <t xml:space="preserve">类目</t>
    </r>
    <r>
      <rPr>
        <sz val="10"/>
        <color rgb="FF000000"/>
        <rFont val="PingFang SC"/>
        <family val="0"/>
        <charset val="1"/>
      </rPr>
      <t xml:space="preserve">] </t>
    </r>
    <r>
      <rPr>
        <sz val="10"/>
        <color rgb="FF000000"/>
        <rFont val="Arial Unicode MS"/>
        <family val="2"/>
      </rPr>
      <t xml:space="preserve">卖家，已合作 </t>
    </r>
    <r>
      <rPr>
        <sz val="10"/>
        <color rgb="FF000000"/>
        <rFont val="PingFang SC"/>
        <family val="0"/>
        <charset val="1"/>
      </rPr>
      <t xml:space="preserve">[X] </t>
    </r>
    <r>
      <rPr>
        <sz val="10"/>
        <color rgb="FF000000"/>
        <rFont val="Arial Unicode MS"/>
        <family val="2"/>
      </rPr>
      <t xml:space="preserve">位达人』🔥）→ ② 说明来意</t>
    </r>
    <r>
      <rPr>
        <sz val="10"/>
        <color rgb="FF000000"/>
        <rFont val="PingFang SC"/>
        <family val="0"/>
        <charset val="1"/>
      </rPr>
      <t xml:space="preserve">+</t>
    </r>
    <r>
      <rPr>
        <sz val="10"/>
        <color rgb="FF000000"/>
        <rFont val="Arial Unicode MS"/>
        <family val="2"/>
      </rPr>
      <t xml:space="preserve">提对方具体视频（『你的 </t>
    </r>
    <r>
      <rPr>
        <sz val="10"/>
        <color rgb="FF000000"/>
        <rFont val="PingFang SC"/>
        <family val="0"/>
        <charset val="1"/>
      </rPr>
      <t xml:space="preserve">[</t>
    </r>
    <r>
      <rPr>
        <sz val="10"/>
        <color rgb="FF000000"/>
        <rFont val="Arial Unicode MS"/>
        <family val="2"/>
      </rPr>
      <t xml:space="preserve">视频</t>
    </r>
    <r>
      <rPr>
        <sz val="10"/>
        <color rgb="FF000000"/>
        <rFont val="PingFang SC"/>
        <family val="0"/>
        <charset val="1"/>
      </rPr>
      <t xml:space="preserve">] </t>
    </r>
    <r>
      <rPr>
        <sz val="10"/>
        <color rgb="FF000000"/>
        <rFont val="Arial Unicode MS"/>
        <family val="2"/>
      </rPr>
      <t xml:space="preserve">拿了 </t>
    </r>
    <r>
      <rPr>
        <sz val="10"/>
        <color rgb="FF000000"/>
        <rFont val="PingFang SC"/>
        <family val="0"/>
        <charset val="1"/>
      </rPr>
      <t xml:space="preserve">[</t>
    </r>
    <r>
      <rPr>
        <sz val="10"/>
        <color rgb="FF000000"/>
        <rFont val="Arial Unicode MS"/>
        <family val="2"/>
      </rPr>
      <t xml:space="preserve">赞数</t>
    </r>
    <r>
      <rPr>
        <sz val="10"/>
        <color rgb="FF000000"/>
        <rFont val="PingFang SC"/>
        <family val="0"/>
        <charset val="1"/>
      </rPr>
      <t xml:space="preserve">] </t>
    </r>
    <r>
      <rPr>
        <sz val="10"/>
        <color rgb="FF000000"/>
        <rFont val="Arial Unicode MS"/>
        <family val="2"/>
      </rPr>
      <t xml:space="preserve">赞』）→ ③ 货盘优势</t>
    </r>
    <r>
      <rPr>
        <sz val="10"/>
        <color rgb="FF000000"/>
        <rFont val="PingFang SC"/>
        <family val="0"/>
        <charset val="1"/>
      </rPr>
      <t xml:space="preserve">+</t>
    </r>
    <r>
      <rPr>
        <sz val="10"/>
        <color rgb="FF000000"/>
        <rFont val="Arial Unicode MS"/>
        <family val="2"/>
      </rPr>
      <t xml:space="preserve">利益点（免费样品🎁 </t>
    </r>
    <r>
      <rPr>
        <sz val="10"/>
        <color rgb="FF000000"/>
        <rFont val="PingFang SC"/>
        <family val="0"/>
        <charset val="1"/>
      </rPr>
      <t xml:space="preserve">/ [X]% </t>
    </r>
    <r>
      <rPr>
        <sz val="10"/>
        <color rgb="FF000000"/>
        <rFont val="Arial Unicode MS"/>
        <family val="2"/>
      </rPr>
      <t xml:space="preserve">佣金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爆款脚本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投流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长期好货）。</t>
    </r>
  </si>
  <si>
    <t xml:space="preserve">按此结构本地化成马来语再发。</t>
  </si>
  <si>
    <t xml:space="preserve">引导多品一次申样</t>
  </si>
  <si>
    <r>
      <rPr>
        <sz val="10"/>
        <color rgb="FF000000"/>
        <rFont val="PingFang SC"/>
        <family val="0"/>
        <charset val="1"/>
      </rPr>
      <t xml:space="preserve">Besides the [</t>
    </r>
    <r>
      <rPr>
        <sz val="10"/>
        <color rgb="FF000000"/>
        <rFont val="Arial Unicode MS"/>
        <family val="2"/>
      </rPr>
      <t xml:space="preserve">已申请商品</t>
    </r>
    <r>
      <rPr>
        <sz val="10"/>
        <color rgb="FF000000"/>
        <rFont val="PingFang SC"/>
        <family val="0"/>
        <charset val="1"/>
      </rPr>
      <t xml:space="preserve">] you requested, we also have [</t>
    </r>
    <r>
      <rPr>
        <sz val="10"/>
        <color rgb="FF000000"/>
        <rFont val="Arial Unicode MS"/>
        <family val="2"/>
      </rPr>
      <t xml:space="preserve">商品</t>
    </r>
    <r>
      <rPr>
        <sz val="10"/>
        <color rgb="FF000000"/>
        <rFont val="PingFang SC"/>
        <family val="0"/>
        <charset val="1"/>
      </rPr>
      <t xml:space="preserve">B] and [</t>
    </r>
    <r>
      <rPr>
        <sz val="10"/>
        <color rgb="FF000000"/>
        <rFont val="Arial Unicode MS"/>
        <family val="2"/>
      </rPr>
      <t xml:space="preserve">商品</t>
    </r>
    <r>
      <rPr>
        <sz val="10"/>
        <color rgb="FF000000"/>
        <rFont val="PingFang SC"/>
        <family val="0"/>
        <charset val="1"/>
      </rPr>
      <t xml:space="preserve">C] that would suit you — [</t>
    </r>
    <r>
      <rPr>
        <sz val="10"/>
        <color rgb="FF000000"/>
        <rFont val="Arial Unicode MS"/>
        <family val="2"/>
      </rPr>
      <t xml:space="preserve">卖点</t>
    </r>
    <r>
      <rPr>
        <sz val="10"/>
        <color rgb="FF000000"/>
        <rFont val="PingFang SC"/>
        <family val="0"/>
        <charset val="1"/>
      </rPr>
      <t xml:space="preserve">B] / [</t>
    </r>
    <r>
      <rPr>
        <sz val="10"/>
        <color rgb="FF000000"/>
        <rFont val="Arial Unicode MS"/>
        <family val="2"/>
      </rPr>
      <t xml:space="preserve">卖点</t>
    </r>
    <r>
      <rPr>
        <sz val="10"/>
        <color rgb="FF000000"/>
        <rFont val="PingFang SC"/>
        <family val="0"/>
        <charset val="1"/>
      </rPr>
      <t xml:space="preserve">C] 🤩. Tell me which ones interest you and we can send them together in one parcel to save time &amp; shipping.</t>
    </r>
  </si>
  <si>
    <t xml:space="preserve">省运费：一次申请多件、一个包裹寄出。</t>
  </si>
  <si>
    <r>
      <rPr>
        <sz val="10"/>
        <color rgb="FF1F4E5F"/>
        <rFont val="PingFang SC"/>
        <family val="0"/>
        <charset val="1"/>
      </rPr>
      <t xml:space="preserve">Selain [</t>
    </r>
    <r>
      <rPr>
        <sz val="10"/>
        <color rgb="FF1F4E5F"/>
        <rFont val="Arial Unicode MS"/>
        <family val="2"/>
      </rPr>
      <t xml:space="preserve">已申请商品</t>
    </r>
    <r>
      <rPr>
        <sz val="10"/>
        <color rgb="FF1F4E5F"/>
        <rFont val="PingFang SC"/>
        <family val="0"/>
        <charset val="1"/>
      </rPr>
      <t xml:space="preserve">] yang anda mohon, kami ada [</t>
    </r>
    <r>
      <rPr>
        <sz val="10"/>
        <color rgb="FF1F4E5F"/>
        <rFont val="Arial Unicode MS"/>
        <family val="2"/>
      </rPr>
      <t xml:space="preserve">商品</t>
    </r>
    <r>
      <rPr>
        <sz val="10"/>
        <color rgb="FF1F4E5F"/>
        <rFont val="PingFang SC"/>
        <family val="0"/>
        <charset val="1"/>
      </rPr>
      <t xml:space="preserve">B] dan [</t>
    </r>
    <r>
      <rPr>
        <sz val="10"/>
        <color rgb="FF1F4E5F"/>
        <rFont val="Arial Unicode MS"/>
        <family val="2"/>
      </rPr>
      <t xml:space="preserve">商品</t>
    </r>
    <r>
      <rPr>
        <sz val="10"/>
        <color rgb="FF1F4E5F"/>
        <rFont val="PingFang SC"/>
        <family val="0"/>
        <charset val="1"/>
      </rPr>
      <t xml:space="preserve">C] yang sesuai juga — [</t>
    </r>
    <r>
      <rPr>
        <sz val="10"/>
        <color rgb="FF1F4E5F"/>
        <rFont val="Arial Unicode MS"/>
        <family val="2"/>
      </rPr>
      <t xml:space="preserve">卖点</t>
    </r>
    <r>
      <rPr>
        <sz val="10"/>
        <color rgb="FF1F4E5F"/>
        <rFont val="PingFang SC"/>
        <family val="0"/>
        <charset val="1"/>
      </rPr>
      <t xml:space="preserve">B] / [</t>
    </r>
    <r>
      <rPr>
        <sz val="10"/>
        <color rgb="FF1F4E5F"/>
        <rFont val="Arial Unicode MS"/>
        <family val="2"/>
      </rPr>
      <t xml:space="preserve">卖点</t>
    </r>
    <r>
      <rPr>
        <sz val="10"/>
        <color rgb="FF1F4E5F"/>
        <rFont val="PingFang SC"/>
        <family val="0"/>
        <charset val="1"/>
      </rPr>
      <t xml:space="preserve">C] 🤩. Beritahu saya yang mana anda minat, boleh kami hantar sekali dalam satu bungkusan untuk jimat masa &amp; kos penghantaran.</t>
    </r>
  </si>
  <si>
    <t xml:space="preserve">样品寄出后</t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</si>
  <si>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], your sample has been shipped 😄 Tracking no.: [</t>
    </r>
    <r>
      <rPr>
        <sz val="10"/>
        <color rgb="FF000000"/>
        <rFont val="Arial Unicode MS"/>
        <family val="2"/>
      </rPr>
      <t xml:space="preserve">物流单号</t>
    </r>
    <r>
      <rPr>
        <sz val="10"/>
        <color rgb="FF000000"/>
        <rFont val="PingFang SC"/>
        <family val="0"/>
        <charset val="1"/>
      </rPr>
      <t xml:space="preserve">]. Please check it's in good condition before filming, and tell me anytime if there's any issue. Looking forward to working with you! 🥰</t>
    </r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</si>
  <si>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], sampel anda sudah dihantar 😄 No. penjejakan: [</t>
    </r>
    <r>
      <rPr>
        <sz val="10"/>
        <color rgb="FF1F4E5F"/>
        <rFont val="Arial Unicode MS"/>
        <family val="2"/>
      </rPr>
      <t xml:space="preserve">物流单号</t>
    </r>
    <r>
      <rPr>
        <sz val="10"/>
        <color rgb="FF1F4E5F"/>
        <rFont val="PingFang SC"/>
        <family val="0"/>
        <charset val="1"/>
      </rPr>
      <t xml:space="preserve">]. Sila periksa keadaannya sebelum merakam, dan beritahu saya bila-bila masa jika ada masalah. Tak sabar nak bekerjasama! 🥰</t>
    </r>
  </si>
  <si>
    <t xml:space="preserve">样品到货激励</t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</si>
  <si>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], has the sample arrived? 🎁 Many creators earn [</t>
    </r>
    <r>
      <rPr>
        <sz val="10"/>
        <color rgb="FF000000"/>
        <rFont val="Arial Unicode MS"/>
        <family val="2"/>
      </rPr>
      <t xml:space="preserve">金额</t>
    </r>
    <r>
      <rPr>
        <sz val="10"/>
        <color rgb="FF000000"/>
        <rFont val="PingFang SC"/>
        <family val="0"/>
        <charset val="1"/>
      </rPr>
      <t xml:space="preserve">] commission from a single [</t>
    </r>
    <r>
      <rPr>
        <sz val="10"/>
        <color rgb="FF000000"/>
        <rFont val="Arial Unicode MS"/>
        <family val="2"/>
      </rPr>
      <t xml:space="preserve">品类</t>
    </r>
    <r>
      <rPr>
        <sz val="10"/>
        <color rgb="FF000000"/>
        <rFont val="PingFang SC"/>
        <family val="0"/>
        <charset val="1"/>
      </rPr>
      <t xml:space="preserve">] video — you can too! 👍 Here's a top-performing reference video: [</t>
    </r>
    <r>
      <rPr>
        <sz val="10"/>
        <color rgb="FF000000"/>
        <rFont val="Arial Unicode MS"/>
        <family val="2"/>
      </rPr>
      <t xml:space="preserve">视频链接</t>
    </r>
    <r>
      <rPr>
        <sz val="10"/>
        <color rgb="FF000000"/>
        <rFont val="PingFang SC"/>
        <family val="0"/>
        <charset val="1"/>
      </rPr>
      <t xml:space="preserve">]. When do you think you could post?</t>
    </r>
  </si>
  <si>
    <r>
      <rPr>
        <sz val="10"/>
        <color rgb="FF000000"/>
        <rFont val="Arial Unicode MS"/>
        <family val="2"/>
      </rPr>
      <t xml:space="preserve">附本地播放量最高的同款视频 </t>
    </r>
    <r>
      <rPr>
        <sz val="10"/>
        <color rgb="FF000000"/>
        <rFont val="PingFang SC"/>
        <family val="0"/>
        <charset val="1"/>
      </rPr>
      <t xml:space="preserve">+ </t>
    </r>
    <r>
      <rPr>
        <sz val="10"/>
        <color rgb="FF000000"/>
        <rFont val="Arial Unicode MS"/>
        <family val="2"/>
      </rPr>
      <t xml:space="preserve">爆文脚本。</t>
    </r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</si>
  <si>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], sampel dah sampai? 🎁 Ramai kreator dapat komisen [</t>
    </r>
    <r>
      <rPr>
        <sz val="10"/>
        <color rgb="FF1F4E5F"/>
        <rFont val="Arial Unicode MS"/>
        <family val="2"/>
      </rPr>
      <t xml:space="preserve">金额</t>
    </r>
    <r>
      <rPr>
        <sz val="10"/>
        <color rgb="FF1F4E5F"/>
        <rFont val="PingFang SC"/>
        <family val="0"/>
        <charset val="1"/>
      </rPr>
      <t xml:space="preserve">] daripada satu video [</t>
    </r>
    <r>
      <rPr>
        <sz val="10"/>
        <color rgb="FF1F4E5F"/>
        <rFont val="Arial Unicode MS"/>
        <family val="2"/>
      </rPr>
      <t xml:space="preserve">品类</t>
    </r>
    <r>
      <rPr>
        <sz val="10"/>
        <color rgb="FF1F4E5F"/>
        <rFont val="PingFang SC"/>
        <family val="0"/>
        <charset val="1"/>
      </rPr>
      <t xml:space="preserve">] sahaja — anda pun boleh! 👍 Ini video rujukan paling laris: [</t>
    </r>
    <r>
      <rPr>
        <sz val="10"/>
        <color rgb="FF1F4E5F"/>
        <rFont val="Arial Unicode MS"/>
        <family val="2"/>
      </rPr>
      <t xml:space="preserve">视频链接</t>
    </r>
    <r>
      <rPr>
        <sz val="10"/>
        <color rgb="FF1F4E5F"/>
        <rFont val="PingFang SC"/>
        <family val="0"/>
        <charset val="1"/>
      </rPr>
      <t xml:space="preserve">]. Agak-agak bila boleh post ya?</t>
    </r>
  </si>
  <si>
    <t xml:space="preserve">催未发文</t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</si>
  <si>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], the sample arrived a few days ago but I haven't seen the video yet — any concerns? 🙌 When do you expect to post? We have a special [</t>
    </r>
    <r>
      <rPr>
        <sz val="10"/>
        <color rgb="FF000000"/>
        <rFont val="Arial Unicode MS"/>
        <family val="2"/>
      </rPr>
      <t xml:space="preserve">促销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流量扶持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库存紧张</t>
    </r>
    <r>
      <rPr>
        <sz val="10"/>
        <color rgb="FF000000"/>
        <rFont val="PingFang SC"/>
        <family val="0"/>
        <charset val="1"/>
      </rPr>
      <t xml:space="preserve">] offer right now, let's not miss it!</t>
    </r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</si>
  <si>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], sampel dah sampai beberapa hari tapi video belum naik lagi — ada apa-apa masalah ke? 🙌 Jangkaan bila boleh post? Kami ada tawaran khas [</t>
    </r>
    <r>
      <rPr>
        <sz val="10"/>
        <color rgb="FF1F4E5F"/>
        <rFont val="Arial Unicode MS"/>
        <family val="2"/>
      </rPr>
      <t xml:space="preserve">促销</t>
    </r>
    <r>
      <rPr>
        <sz val="10"/>
        <color rgb="FF1F4E5F"/>
        <rFont val="PingFang SC"/>
        <family val="0"/>
        <charset val="1"/>
      </rPr>
      <t xml:space="preserve">/</t>
    </r>
    <r>
      <rPr>
        <sz val="10"/>
        <color rgb="FF1F4E5F"/>
        <rFont val="Arial Unicode MS"/>
        <family val="2"/>
      </rPr>
      <t xml:space="preserve">流量扶持</t>
    </r>
    <r>
      <rPr>
        <sz val="10"/>
        <color rgb="FF1F4E5F"/>
        <rFont val="PingFang SC"/>
        <family val="0"/>
        <charset val="1"/>
      </rPr>
      <t xml:space="preserve">/stok terhad] sekarang, jangan lepaskan peluang ya!</t>
    </r>
  </si>
  <si>
    <r>
      <rPr>
        <b val="true"/>
        <sz val="10"/>
        <color rgb="FF000000"/>
        <rFont val="Arial Unicode MS"/>
        <family val="2"/>
      </rPr>
      <t xml:space="preserve">维护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内容差</t>
    </r>
    <r>
      <rPr>
        <b val="true"/>
        <sz val="10"/>
        <color rgb="FF000000"/>
        <rFont val="PingFang SC"/>
        <family val="0"/>
        <charset val="1"/>
      </rPr>
      <t xml:space="preserve">/</t>
    </r>
    <r>
      <rPr>
        <b val="true"/>
        <sz val="10"/>
        <color rgb="FF000000"/>
        <rFont val="Arial Unicode MS"/>
        <family val="2"/>
      </rPr>
      <t xml:space="preserve">没出单</t>
    </r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</si>
  <si>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], thanks for the video! 🙏 To get even better results, here's a proven script/example: [</t>
    </r>
    <r>
      <rPr>
        <sz val="10"/>
        <color rgb="FF000000"/>
        <rFont val="Arial Unicode MS"/>
        <family val="2"/>
      </rPr>
      <t xml:space="preserve">脚本链接</t>
    </r>
    <r>
      <rPr>
        <sz val="10"/>
        <color rgb="FF000000"/>
        <rFont val="PingFang SC"/>
        <family val="0"/>
        <charset val="1"/>
      </rPr>
      <t xml:space="preserve">]. Want to try another take? Happy to support you.</t>
    </r>
  </si>
  <si>
    <r>
      <rPr>
        <sz val="10"/>
        <color rgb="FF000000"/>
        <rFont val="Arial Unicode MS"/>
        <family val="2"/>
      </rPr>
      <t xml:space="preserve">鼓励提质 </t>
    </r>
    <r>
      <rPr>
        <sz val="10"/>
        <color rgb="FF000000"/>
        <rFont val="PingFang SC"/>
        <family val="0"/>
        <charset val="1"/>
      </rPr>
      <t xml:space="preserve">+ </t>
    </r>
    <r>
      <rPr>
        <sz val="10"/>
        <color rgb="FF000000"/>
        <rFont val="Arial Unicode MS"/>
        <family val="2"/>
      </rPr>
      <t xml:space="preserve">给爆文脚本参考。</t>
    </r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</si>
  <si>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], terima kasih atas video! 🙏 Untuk hasil lebih baik, ini skrip/contoh yang terbukti laris: [</t>
    </r>
    <r>
      <rPr>
        <sz val="10"/>
        <color rgb="FF1F4E5F"/>
        <rFont val="Arial Unicode MS"/>
        <family val="2"/>
      </rPr>
      <t xml:space="preserve">脚本链接</t>
    </r>
    <r>
      <rPr>
        <sz val="10"/>
        <color rgb="FF1F4E5F"/>
        <rFont val="PingFang SC"/>
        <family val="0"/>
        <charset val="1"/>
      </rPr>
      <t xml:space="preserve">]. Nak cuba sekali lagi? Saya sedia bantu.</t>
    </r>
  </si>
  <si>
    <r>
      <rPr>
        <b val="true"/>
        <sz val="10"/>
        <color rgb="FF000000"/>
        <rFont val="Arial Unicode MS"/>
        <family val="2"/>
      </rPr>
      <t xml:space="preserve">维护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出单但只发一条</t>
    </r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</si>
  <si>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], your video did great! 🔥 Our top creators post [X] videos a week, reach [</t>
    </r>
    <r>
      <rPr>
        <sz val="10"/>
        <color rgb="FF000000"/>
        <rFont val="Arial Unicode MS"/>
        <family val="2"/>
      </rPr>
      <t xml:space="preserve">播放量</t>
    </r>
    <r>
      <rPr>
        <sz val="10"/>
        <color rgb="FF000000"/>
        <rFont val="PingFang SC"/>
        <family val="0"/>
        <charset val="1"/>
      </rPr>
      <t xml:space="preserve">] views and earn [</t>
    </r>
    <r>
      <rPr>
        <sz val="10"/>
        <color rgb="FF000000"/>
        <rFont val="Arial Unicode MS"/>
        <family val="2"/>
      </rPr>
      <t xml:space="preserve">佣金</t>
    </r>
    <r>
      <rPr>
        <sz val="10"/>
        <color rgb="FF000000"/>
        <rFont val="PingFang SC"/>
        <family val="0"/>
        <charset val="1"/>
      </rPr>
      <t xml:space="preserve">] — you have the same potential. Shall we line up the next one?</t>
    </r>
  </si>
  <si>
    <r>
      <rPr>
        <sz val="10"/>
        <color rgb="FF000000"/>
        <rFont val="Arial Unicode MS"/>
        <family val="2"/>
      </rPr>
      <t xml:space="preserve">用 </t>
    </r>
    <r>
      <rPr>
        <sz val="10"/>
        <color rgb="FF000000"/>
        <rFont val="PingFang SC"/>
        <family val="0"/>
        <charset val="1"/>
      </rPr>
      <t xml:space="preserve">Top </t>
    </r>
    <r>
      <rPr>
        <sz val="10"/>
        <color rgb="FF000000"/>
        <rFont val="Arial Unicode MS"/>
        <family val="2"/>
      </rPr>
      <t xml:space="preserve">达人数据激励多发。</t>
    </r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</si>
  <si>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], video anda memang bagus! 🔥 Kreator terbaik kami post [X] video seminggu, capai [</t>
    </r>
    <r>
      <rPr>
        <sz val="10"/>
        <color rgb="FF1F4E5F"/>
        <rFont val="Arial Unicode MS"/>
        <family val="2"/>
      </rPr>
      <t xml:space="preserve">播放量</t>
    </r>
    <r>
      <rPr>
        <sz val="10"/>
        <color rgb="FF1F4E5F"/>
        <rFont val="PingFang SC"/>
        <family val="0"/>
        <charset val="1"/>
      </rPr>
      <t xml:space="preserve">] tontonan dan dapat [</t>
    </r>
    <r>
      <rPr>
        <sz val="10"/>
        <color rgb="FF1F4E5F"/>
        <rFont val="Arial Unicode MS"/>
        <family val="2"/>
      </rPr>
      <t xml:space="preserve">佣金</t>
    </r>
    <r>
      <rPr>
        <sz val="10"/>
        <color rgb="FF1F4E5F"/>
        <rFont val="PingFang SC"/>
        <family val="0"/>
        <charset val="1"/>
      </rPr>
      <t xml:space="preserve">] — anda pun ada potensi sama. Jom rancang video seterusnya?</t>
    </r>
  </si>
  <si>
    <r>
      <rPr>
        <b val="true"/>
        <sz val="10"/>
        <color rgb="FF000000"/>
        <rFont val="Arial Unicode MS"/>
        <family val="2"/>
      </rPr>
      <t xml:space="preserve">维护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重点达人</t>
    </r>
    <r>
      <rPr>
        <b val="true"/>
        <sz val="10"/>
        <color rgb="FF000000"/>
        <rFont val="PingFang SC"/>
        <family val="0"/>
        <charset val="1"/>
      </rPr>
      <t xml:space="preserve">(S/A</t>
    </r>
    <r>
      <rPr>
        <b val="true"/>
        <sz val="10"/>
        <color rgb="FF000000"/>
        <rFont val="Arial Unicode MS"/>
        <family val="2"/>
      </rPr>
      <t xml:space="preserve">级</t>
    </r>
    <r>
      <rPr>
        <b val="true"/>
        <sz val="10"/>
        <color rgb="FF000000"/>
        <rFont val="PingFang SC"/>
        <family val="0"/>
        <charset val="1"/>
      </rPr>
      <t xml:space="preserve">)</t>
    </r>
  </si>
  <si>
    <r>
      <rPr>
        <sz val="10"/>
        <color rgb="FF000000"/>
        <rFont val="PingFang SC"/>
        <family val="0"/>
        <charset val="1"/>
      </rPr>
      <t xml:space="preserve">Hi [</t>
    </r>
    <r>
      <rPr>
        <sz val="10"/>
        <color rgb="FF000000"/>
        <rFont val="Arial Unicode MS"/>
        <family val="2"/>
      </rPr>
      <t xml:space="preserve">达人昵称</t>
    </r>
    <r>
      <rPr>
        <sz val="10"/>
        <color rgb="FF000000"/>
        <rFont val="PingFang SC"/>
        <family val="0"/>
        <charset val="1"/>
      </rPr>
      <t xml:space="preserve">], thanks for the steady great content! 🌟 You're one of our key partners — I'll give you early access to new arrivals and our best commission. New drop coming: [</t>
    </r>
    <r>
      <rPr>
        <sz val="10"/>
        <color rgb="FF000000"/>
        <rFont val="Arial Unicode MS"/>
        <family val="2"/>
      </rPr>
      <t xml:space="preserve">新品</t>
    </r>
    <r>
      <rPr>
        <sz val="10"/>
        <color rgb="FF000000"/>
        <rFont val="PingFang SC"/>
        <family val="0"/>
        <charset val="1"/>
      </rPr>
      <t xml:space="preserve">]. Want first dibs + samples?</t>
    </r>
  </si>
  <si>
    <r>
      <rPr>
        <sz val="10"/>
        <color rgb="FF000000"/>
        <rFont val="Arial Unicode MS"/>
        <family val="2"/>
      </rPr>
      <t xml:space="preserve">重点维护：预告上新、特殊节点人工告知、谈更高佣金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买断素材投流。</t>
    </r>
  </si>
  <si>
    <r>
      <rPr>
        <sz val="10"/>
        <color rgb="FF1F4E5F"/>
        <rFont val="PingFang SC"/>
        <family val="0"/>
        <charset val="1"/>
      </rPr>
      <t xml:space="preserve">Hai [</t>
    </r>
    <r>
      <rPr>
        <sz val="10"/>
        <color rgb="FF1F4E5F"/>
        <rFont val="Arial Unicode MS"/>
        <family val="2"/>
      </rPr>
      <t xml:space="preserve">达人昵称</t>
    </r>
    <r>
      <rPr>
        <sz val="10"/>
        <color rgb="FF1F4E5F"/>
        <rFont val="PingFang SC"/>
        <family val="0"/>
        <charset val="1"/>
      </rPr>
      <t xml:space="preserve">], terima kasih kerana sentiasa hasilkan kandungan terbaik! 🌟 Anda antara rakan utama kami — saya akan beri akses awal produk baharu dan komisen terbaik. Ada produk baharu: [</t>
    </r>
    <r>
      <rPr>
        <sz val="10"/>
        <color rgb="FF1F4E5F"/>
        <rFont val="Arial Unicode MS"/>
        <family val="2"/>
      </rPr>
      <t xml:space="preserve">新品</t>
    </r>
    <r>
      <rPr>
        <sz val="10"/>
        <color rgb="FF1F4E5F"/>
        <rFont val="PingFang SC"/>
        <family val="0"/>
        <charset val="1"/>
      </rPr>
      <t xml:space="preserve">]. Nak jadi yang pertama + sampel?</t>
    </r>
  </si>
  <si>
    <t xml:space="preserve">⚠️ 风格提示</t>
  </si>
  <si>
    <t xml:space="preserve">—</t>
  </si>
  <si>
    <t xml:space="preserve">说明</t>
  </si>
  <si>
    <r>
      <rPr>
        <sz val="10"/>
        <color rgb="FF000000"/>
        <rFont val="Arial Unicode MS"/>
        <family val="2"/>
      </rPr>
      <t xml:space="preserve">参考库另有 </t>
    </r>
    <r>
      <rPr>
        <sz val="10"/>
        <color rgb="FF000000"/>
        <rFont val="PingFang SC"/>
        <family val="0"/>
        <charset val="1"/>
      </rPr>
      <t xml:space="preserve">60 </t>
    </r>
    <r>
      <rPr>
        <sz val="10"/>
        <color rgb="FF000000"/>
        <rFont val="Arial Unicode MS"/>
        <family val="2"/>
      </rPr>
      <t xml:space="preserve">条『工厂直发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高佣』话术，营销味重、含直贴微信</t>
    </r>
    <r>
      <rPr>
        <sz val="10"/>
        <color rgb="FF000000"/>
        <rFont val="PingFang SC"/>
        <family val="0"/>
        <charset val="1"/>
      </rPr>
      <t xml:space="preserve">/+86</t>
    </r>
    <r>
      <rPr>
        <sz val="10"/>
        <color rgb="FF000000"/>
        <rFont val="Arial Unicode MS"/>
        <family val="2"/>
      </rPr>
      <t xml:space="preserve">，仅适合海量陌拜起量，不适合品牌店。优先用以上有礼版并本地化。群发邮件务必 </t>
    </r>
    <r>
      <rPr>
        <sz val="10"/>
        <color rgb="FF000000"/>
        <rFont val="PingFang SC"/>
        <family val="0"/>
        <charset val="1"/>
      </rPr>
      <t xml:space="preserve">BCC </t>
    </r>
    <r>
      <rPr>
        <sz val="10"/>
        <color rgb="FF000000"/>
        <rFont val="Arial Unicode MS"/>
        <family val="2"/>
      </rPr>
      <t xml:space="preserve">密送；站内私信对不回复的达人最多触及 </t>
    </r>
    <r>
      <rPr>
        <sz val="10"/>
        <color rgb="FF000000"/>
        <rFont val="PingFang SC"/>
        <family val="0"/>
        <charset val="1"/>
      </rPr>
      <t xml:space="preserve">5 </t>
    </r>
    <r>
      <rPr>
        <sz val="10"/>
        <color rgb="FF000000"/>
        <rFont val="Arial Unicode MS"/>
        <family val="2"/>
      </rPr>
      <t xml:space="preserve">次，珍惜次数。</t>
    </r>
  </si>
  <si>
    <r>
      <rPr>
        <sz val="10"/>
        <color rgb="FF000000"/>
        <rFont val="Arial Unicode MS"/>
        <family val="2"/>
      </rPr>
      <t xml:space="preserve">出自《海外小店达人邀约话术》</t>
    </r>
    <r>
      <rPr>
        <sz val="10"/>
        <color rgb="FF000000"/>
        <rFont val="PingFang SC"/>
        <family val="0"/>
        <charset val="1"/>
      </rPr>
      <t xml:space="preserve">60 </t>
    </r>
    <r>
      <rPr>
        <sz val="10"/>
        <color rgb="FF000000"/>
        <rFont val="Arial Unicode MS"/>
        <family val="2"/>
      </rPr>
      <t xml:space="preserve">条，谨慎使用。</t>
    </r>
  </si>
  <si>
    <r>
      <rPr>
        <b val="true"/>
        <sz val="14"/>
        <color rgb="FFFFFFFF"/>
        <rFont val="Arial Unicode MS"/>
        <family val="2"/>
      </rPr>
      <t xml:space="preserve">客服 </t>
    </r>
    <r>
      <rPr>
        <b val="true"/>
        <sz val="14"/>
        <color rgb="FFFFFFFF"/>
        <rFont val="PingFang SC"/>
        <family val="0"/>
        <charset val="1"/>
      </rPr>
      <t xml:space="preserve">FAQ + </t>
    </r>
    <r>
      <rPr>
        <b val="true"/>
        <sz val="14"/>
        <color rgb="FFFFFFFF"/>
        <rFont val="Arial Unicode MS"/>
        <family val="2"/>
      </rPr>
      <t xml:space="preserve">自动回复 </t>
    </r>
    <r>
      <rPr>
        <b val="true"/>
        <sz val="14"/>
        <color rgb="FFFFFFFF"/>
        <rFont val="PingFang SC"/>
        <family val="0"/>
        <charset val="1"/>
      </rPr>
      <t xml:space="preserve">· </t>
    </r>
    <r>
      <rPr>
        <b val="true"/>
        <sz val="14"/>
        <color rgb="FFFFFFFF"/>
        <rFont val="Arial Unicode MS"/>
        <family val="2"/>
      </rPr>
      <t xml:space="preserve">中英</t>
    </r>
    <r>
      <rPr>
        <b val="true"/>
        <sz val="14"/>
        <color rgb="FFFFFFFF"/>
        <rFont val="PingFang SC"/>
        <family val="0"/>
        <charset val="1"/>
      </rPr>
      <t xml:space="preserve">(</t>
    </r>
    <r>
      <rPr>
        <b val="true"/>
        <sz val="14"/>
        <color rgb="FFFFFFFF"/>
        <rFont val="Arial Unicode MS"/>
        <family val="2"/>
      </rPr>
      <t xml:space="preserve">含马来</t>
    </r>
    <r>
      <rPr>
        <b val="true"/>
        <sz val="14"/>
        <color rgb="FFFFFFFF"/>
        <rFont val="PingFang SC"/>
        <family val="0"/>
        <charset val="1"/>
      </rPr>
      <t xml:space="preserve">)</t>
    </r>
    <r>
      <rPr>
        <b val="true"/>
        <sz val="14"/>
        <color rgb="FFFFFFFF"/>
        <rFont val="Arial Unicode MS"/>
        <family val="2"/>
      </rPr>
      <t xml:space="preserve">对照</t>
    </r>
  </si>
  <si>
    <r>
      <rPr>
        <i val="true"/>
        <sz val="9"/>
        <color rgb="FF404040"/>
        <rFont val="Arial Unicode MS"/>
        <family val="2"/>
      </rPr>
      <t xml:space="preserve">覆盖：欢迎语 </t>
    </r>
    <r>
      <rPr>
        <i val="true"/>
        <sz val="9"/>
        <color rgb="FF404040"/>
        <rFont val="PingFang SC"/>
        <family val="0"/>
        <charset val="1"/>
      </rPr>
      <t xml:space="preserve">/ 8 </t>
    </r>
    <r>
      <rPr>
        <i val="true"/>
        <sz val="9"/>
        <color rgb="FF404040"/>
        <rFont val="Arial Unicode MS"/>
        <family val="2"/>
      </rPr>
      <t xml:space="preserve">个订单状态自动回复 </t>
    </r>
    <r>
      <rPr>
        <i val="true"/>
        <sz val="9"/>
        <color rgb="FF404040"/>
        <rFont val="PingFang SC"/>
        <family val="0"/>
        <charset val="1"/>
      </rPr>
      <t xml:space="preserve">/ </t>
    </r>
    <r>
      <rPr>
        <i val="true"/>
        <sz val="9"/>
        <color rgb="FF404040"/>
        <rFont val="Arial Unicode MS"/>
        <family val="2"/>
      </rPr>
      <t xml:space="preserve">常见问题 </t>
    </r>
    <r>
      <rPr>
        <i val="true"/>
        <sz val="9"/>
        <color rgb="FF404040"/>
        <rFont val="PingFang SC"/>
        <family val="0"/>
        <charset val="1"/>
      </rPr>
      <t xml:space="preserve">/ </t>
    </r>
    <r>
      <rPr>
        <i val="true"/>
        <sz val="9"/>
        <color rgb="FF404040"/>
        <rFont val="Arial Unicode MS"/>
        <family val="2"/>
      </rPr>
      <t xml:space="preserve">时效红线。</t>
    </r>
    <r>
      <rPr>
        <i val="true"/>
        <sz val="9"/>
        <color rgb="FF404040"/>
        <rFont val="PingFang SC"/>
        <family val="0"/>
        <charset val="1"/>
      </rPr>
      <t xml:space="preserve">{</t>
    </r>
    <r>
      <rPr>
        <i val="true"/>
        <sz val="9"/>
        <color rgb="FF404040"/>
        <rFont val="Arial Unicode MS"/>
        <family val="2"/>
      </rPr>
      <t xml:space="preserve">大括号</t>
    </r>
    <r>
      <rPr>
        <i val="true"/>
        <sz val="9"/>
        <color rgb="FF404040"/>
        <rFont val="PingFang SC"/>
        <family val="0"/>
        <charset val="1"/>
      </rPr>
      <t xml:space="preserve">}=</t>
    </r>
    <r>
      <rPr>
        <i val="true"/>
        <sz val="9"/>
        <color rgb="FF404040"/>
        <rFont val="Arial Unicode MS"/>
        <family val="2"/>
      </rPr>
      <t xml:space="preserve">订单变量</t>
    </r>
    <r>
      <rPr>
        <i val="true"/>
        <sz val="9"/>
        <color rgb="FF404040"/>
        <rFont val="PingFang SC"/>
        <family val="0"/>
        <charset val="1"/>
      </rPr>
      <t xml:space="preserve">(</t>
    </r>
    <r>
      <rPr>
        <i val="true"/>
        <sz val="9"/>
        <color rgb="FF404040"/>
        <rFont val="Arial Unicode MS"/>
        <family val="2"/>
      </rPr>
      <t xml:space="preserve">订单编号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预计送达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详情页链接，顾客点卡片时自动替换</t>
    </r>
    <r>
      <rPr>
        <i val="true"/>
        <sz val="9"/>
        <color rgb="FF404040"/>
        <rFont val="PingFang SC"/>
        <family val="0"/>
        <charset val="1"/>
      </rPr>
      <t xml:space="preserve">)</t>
    </r>
    <r>
      <rPr>
        <i val="true"/>
        <sz val="9"/>
        <color rgb="FF404040"/>
        <rFont val="Arial Unicode MS"/>
        <family val="2"/>
      </rPr>
      <t xml:space="preserve">；</t>
    </r>
    <r>
      <rPr>
        <i val="true"/>
        <sz val="9"/>
        <color rgb="FF404040"/>
        <rFont val="PingFang SC"/>
        <family val="0"/>
        <charset val="1"/>
      </rPr>
      <t xml:space="preserve">[</t>
    </r>
    <r>
      <rPr>
        <i val="true"/>
        <sz val="9"/>
        <color rgb="FF404040"/>
        <rFont val="Arial Unicode MS"/>
        <family val="2"/>
      </rPr>
      <t xml:space="preserve">方括号</t>
    </r>
    <r>
      <rPr>
        <i val="true"/>
        <sz val="9"/>
        <color rgb="FF404040"/>
        <rFont val="PingFang SC"/>
        <family val="0"/>
        <charset val="1"/>
      </rPr>
      <t xml:space="preserve">]=</t>
    </r>
    <r>
      <rPr>
        <i val="true"/>
        <sz val="9"/>
        <color rgb="FF404040"/>
        <rFont val="Arial Unicode MS"/>
        <family val="2"/>
      </rPr>
      <t xml:space="preserve">你按品</t>
    </r>
    <r>
      <rPr>
        <i val="true"/>
        <sz val="9"/>
        <color rgb="FF404040"/>
        <rFont val="PingFang SC"/>
        <family val="0"/>
        <charset val="1"/>
      </rPr>
      <t xml:space="preserve">/</t>
    </r>
    <r>
      <rPr>
        <i val="true"/>
        <sz val="9"/>
        <color rgb="FF404040"/>
        <rFont val="Arial Unicode MS"/>
        <family val="2"/>
      </rPr>
      <t xml:space="preserve">店替换。⚠️ 所有时效</t>
    </r>
    <r>
      <rPr>
        <i val="true"/>
        <sz val="9"/>
        <color rgb="FF404040"/>
        <rFont val="PingFang SC"/>
        <family val="0"/>
        <charset val="1"/>
      </rPr>
      <t xml:space="preserve">/SLA/</t>
    </r>
    <r>
      <rPr>
        <i val="true"/>
        <sz val="9"/>
        <color rgb="FF404040"/>
        <rFont val="Arial Unicode MS"/>
        <family val="2"/>
      </rPr>
      <t xml:space="preserve">政策以官方后台当期为准并填核对日期。</t>
    </r>
  </si>
  <si>
    <t xml:space="preserve">分类</t>
  </si>
  <si>
    <r>
      <rPr>
        <b val="true"/>
        <sz val="10"/>
        <color rgb="FFFFFFFF"/>
        <rFont val="Arial Unicode MS"/>
        <family val="2"/>
      </rPr>
      <t xml:space="preserve">触发 </t>
    </r>
    <r>
      <rPr>
        <b val="true"/>
        <sz val="10"/>
        <color rgb="FFFFFFFF"/>
        <rFont val="PingFang SC"/>
        <family val="0"/>
        <charset val="1"/>
      </rPr>
      <t xml:space="preserve">/ </t>
    </r>
    <r>
      <rPr>
        <b val="true"/>
        <sz val="10"/>
        <color rgb="FFFFFFFF"/>
        <rFont val="Arial Unicode MS"/>
        <family val="2"/>
      </rPr>
      <t xml:space="preserve">订单状态</t>
    </r>
  </si>
  <si>
    <r>
      <rPr>
        <b val="true"/>
        <sz val="10"/>
        <color rgb="FFFFFFFF"/>
        <rFont val="Arial Unicode MS"/>
        <family val="2"/>
      </rPr>
      <t xml:space="preserve">话术 </t>
    </r>
    <r>
      <rPr>
        <b val="true"/>
        <sz val="10"/>
        <color rgb="FFFFFFFF"/>
        <rFont val="PingFang SC"/>
        <family val="0"/>
        <charset val="1"/>
      </rPr>
      <t xml:space="preserve">/ </t>
    </r>
    <r>
      <rPr>
        <b val="true"/>
        <sz val="10"/>
        <color rgb="FFFFFFFF"/>
        <rFont val="Arial Unicode MS"/>
        <family val="2"/>
      </rPr>
      <t xml:space="preserve">规则</t>
    </r>
  </si>
  <si>
    <r>
      <rPr>
        <b val="true"/>
        <sz val="10"/>
        <color rgb="FF000000"/>
        <rFont val="Arial Unicode MS"/>
        <family val="2"/>
      </rPr>
      <t xml:space="preserve">欢迎语</t>
    </r>
    <r>
      <rPr>
        <b val="true"/>
        <sz val="10"/>
        <color rgb="FF000000"/>
        <rFont val="PingFang SC"/>
        <family val="0"/>
        <charset val="1"/>
      </rPr>
      <t xml:space="preserve">/</t>
    </r>
    <r>
      <rPr>
        <b val="true"/>
        <sz val="10"/>
        <color rgb="FF000000"/>
        <rFont val="Arial Unicode MS"/>
        <family val="2"/>
      </rPr>
      <t xml:space="preserve">问候语</t>
    </r>
  </si>
  <si>
    <r>
      <rPr>
        <sz val="10"/>
        <color rgb="FF000000"/>
        <rFont val="Arial Unicode MS"/>
        <family val="2"/>
      </rPr>
      <t xml:space="preserve">进店欢迎</t>
    </r>
    <r>
      <rPr>
        <sz val="10"/>
        <color rgb="FF000000"/>
        <rFont val="PingFang SC"/>
        <family val="0"/>
        <charset val="1"/>
      </rPr>
      <t xml:space="preserve">(</t>
    </r>
    <r>
      <rPr>
        <sz val="10"/>
        <color rgb="FF000000"/>
        <rFont val="Arial Unicode MS"/>
        <family val="2"/>
      </rPr>
      <t xml:space="preserve">模板</t>
    </r>
    <r>
      <rPr>
        <sz val="10"/>
        <color rgb="FF000000"/>
        <rFont val="PingFang SC"/>
        <family val="0"/>
        <charset val="1"/>
      </rPr>
      <t xml:space="preserve">1)</t>
    </r>
  </si>
  <si>
    <t xml:space="preserve">Welcome to my shop! I hope you have a great journey here. Please feel free to contact us if you have any questions. 😊</t>
  </si>
  <si>
    <t xml:space="preserve">聊天机器人问候语。</t>
  </si>
  <si>
    <t xml:space="preserve">Selamat datang ke kedai kami! 😊 Semoga anda seronok membeli-belah. Jika ada sebarang pertanyaan, jangan segan untuk menghubungi kami.</t>
  </si>
  <si>
    <t xml:space="preserve">聊天问候语</t>
  </si>
  <si>
    <t xml:space="preserve">Thank you for getting in touch. How may I help you today? 😊</t>
  </si>
  <si>
    <r>
      <rPr>
        <sz val="10"/>
        <color rgb="FF000000"/>
        <rFont val="Arial Unicode MS"/>
        <family val="2"/>
      </rPr>
      <t xml:space="preserve">问候语上限示例 </t>
    </r>
    <r>
      <rPr>
        <sz val="10"/>
        <color rgb="FF000000"/>
        <rFont val="PingFang SC"/>
        <family val="0"/>
        <charset val="1"/>
      </rPr>
      <t xml:space="preserve">600 </t>
    </r>
    <r>
      <rPr>
        <sz val="10"/>
        <color rgb="FF000000"/>
        <rFont val="Arial Unicode MS"/>
        <family val="2"/>
      </rPr>
      <t xml:space="preserve">字符。</t>
    </r>
  </si>
  <si>
    <t xml:space="preserve">Terima kasih kerana menghubungi kami. Apa yang boleh saya bantu hari ini? 😊</t>
  </si>
  <si>
    <t xml:space="preserve">订单咨询问候</t>
  </si>
  <si>
    <t xml:space="preserve">Thanks for getting in touch! How may I help you with this order? 😊</t>
  </si>
  <si>
    <r>
      <rPr>
        <sz val="10"/>
        <color rgb="FF000000"/>
        <rFont val="Arial Unicode MS"/>
        <family val="2"/>
      </rPr>
      <t xml:space="preserve">订单自动回复问候，上限示例 </t>
    </r>
    <r>
      <rPr>
        <sz val="10"/>
        <color rgb="FF000000"/>
        <rFont val="PingFang SC"/>
        <family val="0"/>
        <charset val="1"/>
      </rPr>
      <t xml:space="preserve">200 </t>
    </r>
    <r>
      <rPr>
        <sz val="10"/>
        <color rgb="FF000000"/>
        <rFont val="Arial Unicode MS"/>
        <family val="2"/>
      </rPr>
      <t xml:space="preserve">字符。</t>
    </r>
  </si>
  <si>
    <t xml:space="preserve">Terima kasih kerana menghubungi! Apa yang boleh saya bantu tentang pesanan ini? 😊</t>
  </si>
  <si>
    <r>
      <rPr>
        <sz val="10"/>
        <color rgb="FF000000"/>
        <rFont val="Arial Unicode MS"/>
        <family val="2"/>
      </rPr>
      <t xml:space="preserve">品牌授权版</t>
    </r>
    <r>
      <rPr>
        <sz val="10"/>
        <color rgb="FF000000"/>
        <rFont val="PingFang SC"/>
        <family val="0"/>
        <charset val="1"/>
      </rPr>
      <t xml:space="preserve">(</t>
    </r>
    <r>
      <rPr>
        <sz val="10"/>
        <color rgb="FF000000"/>
        <rFont val="Arial Unicode MS"/>
        <family val="2"/>
      </rPr>
      <t xml:space="preserve">模板</t>
    </r>
    <r>
      <rPr>
        <sz val="10"/>
        <color rgb="FF000000"/>
        <rFont val="PingFang SC"/>
        <family val="0"/>
        <charset val="1"/>
      </rPr>
      <t xml:space="preserve">2·</t>
    </r>
    <r>
      <rPr>
        <sz val="10"/>
        <color rgb="FF000000"/>
        <rFont val="Arial Unicode MS"/>
        <family val="2"/>
      </rPr>
      <t xml:space="preserve">慎用</t>
    </r>
    <r>
      <rPr>
        <sz val="10"/>
        <color rgb="FF000000"/>
        <rFont val="PingFang SC"/>
        <family val="0"/>
        <charset val="1"/>
      </rPr>
      <t xml:space="preserve">)</t>
    </r>
  </si>
  <si>
    <r>
      <rPr>
        <sz val="10"/>
        <color rgb="FF000000"/>
        <rFont val="PingFang SC"/>
        <family val="0"/>
        <charset val="1"/>
      </rPr>
      <t xml:space="preserve">Hi Dear, thanks for visiting my shop. This shop mainly sells [</t>
    </r>
    <r>
      <rPr>
        <sz val="10"/>
        <color rgb="FF000000"/>
        <rFont val="Arial Unicode MS"/>
        <family val="2"/>
      </rPr>
      <t xml:space="preserve">售卖商品</t>
    </r>
    <r>
      <rPr>
        <sz val="10"/>
        <color rgb="FF000000"/>
        <rFont val="PingFang SC"/>
        <family val="0"/>
        <charset val="1"/>
      </rPr>
      <t xml:space="preserve">]. We have brand authorization from [</t>
    </r>
    <r>
      <rPr>
        <sz val="10"/>
        <color rgb="FF000000"/>
        <rFont val="Arial Unicode MS"/>
        <family val="2"/>
      </rPr>
      <t xml:space="preserve">品牌方</t>
    </r>
    <r>
      <rPr>
        <sz val="10"/>
        <color rgb="FF000000"/>
        <rFont val="PingFang SC"/>
        <family val="0"/>
        <charset val="1"/>
      </rPr>
      <t xml:space="preserve">]. Wish you a good trip in our shop and please reach out whenever you need help. 😊</t>
    </r>
  </si>
  <si>
    <t xml:space="preserve">⚠️ 仅在确有品牌授权时使用，否则按山寨处罚。</t>
  </si>
  <si>
    <t xml:space="preserve">订单状态自动回复</t>
  </si>
  <si>
    <r>
      <rPr>
        <sz val="10"/>
        <color rgb="FF000000"/>
        <rFont val="Arial Unicode MS"/>
        <family val="2"/>
      </rPr>
      <t xml:space="preserve">待支付 </t>
    </r>
    <r>
      <rPr>
        <sz val="10"/>
        <color rgb="FF000000"/>
        <rFont val="PingFang SC"/>
        <family val="0"/>
        <charset val="1"/>
      </rPr>
      <t xml:space="preserve">Unpaid</t>
    </r>
  </si>
  <si>
    <r>
      <rPr>
        <sz val="10"/>
        <color rgb="FF000000"/>
        <rFont val="PingFang SC"/>
        <family val="0"/>
        <charset val="1"/>
      </rPr>
      <t xml:space="preserve">Hi, your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is awaiting payment. Tap here to complete it: {</t>
    </r>
    <r>
      <rPr>
        <sz val="10"/>
        <color rgb="FF000000"/>
        <rFont val="Arial Unicode MS"/>
        <family val="2"/>
      </rPr>
      <t xml:space="preserve">订单详情页链接</t>
    </r>
    <r>
      <rPr>
        <sz val="10"/>
        <color rgb="FF000000"/>
        <rFont val="PingFang SC"/>
        <family val="0"/>
        <charset val="1"/>
      </rPr>
      <t xml:space="preserve">}. Need help with payment methods? Just ask! 😊</t>
    </r>
  </si>
  <si>
    <r>
      <rPr>
        <sz val="10"/>
        <color rgb="FF000000"/>
        <rFont val="Arial Unicode MS"/>
        <family val="2"/>
      </rPr>
      <t xml:space="preserve">可插变量</t>
    </r>
    <r>
      <rPr>
        <sz val="10"/>
        <color rgb="FF000000"/>
        <rFont val="PingFang SC"/>
        <family val="0"/>
        <charset val="1"/>
      </rPr>
      <t xml:space="preserve">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}+</t>
    </r>
    <r>
      <rPr>
        <sz val="10"/>
        <color rgb="FF000000"/>
        <rFont val="Arial Unicode MS"/>
        <family val="2"/>
      </rPr>
      <t xml:space="preserve">链接。</t>
    </r>
  </si>
  <si>
    <r>
      <rPr>
        <sz val="10"/>
        <color rgb="FF1F4E5F"/>
        <rFont val="PingFang SC"/>
        <family val="0"/>
        <charset val="1"/>
      </rPr>
      <t xml:space="preserve">Hai, pesanan anda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 masih menunggu pembayaran. Klik di sini untuk membayar: {</t>
    </r>
    <r>
      <rPr>
        <sz val="10"/>
        <color rgb="FF1F4E5F"/>
        <rFont val="Arial Unicode MS"/>
        <family val="2"/>
      </rPr>
      <t xml:space="preserve">订单详情页链接</t>
    </r>
    <r>
      <rPr>
        <sz val="10"/>
        <color rgb="FF1F4E5F"/>
        <rFont val="PingFang SC"/>
        <family val="0"/>
        <charset val="1"/>
      </rPr>
      <t xml:space="preserve">}. Perlukan bantuan tentang kaedah pembayaran? Tanya saja! 😊</t>
    </r>
  </si>
  <si>
    <r>
      <rPr>
        <sz val="10"/>
        <color rgb="FF000000"/>
        <rFont val="Arial Unicode MS"/>
        <family val="2"/>
      </rPr>
      <t xml:space="preserve">待发货 </t>
    </r>
    <r>
      <rPr>
        <sz val="10"/>
        <color rgb="FF000000"/>
        <rFont val="PingFang SC"/>
        <family val="0"/>
        <charset val="1"/>
      </rPr>
      <t xml:space="preserve">To Ship</t>
    </r>
  </si>
  <si>
    <r>
      <rPr>
        <sz val="10"/>
        <color rgb="FF000000"/>
        <rFont val="PingFang SC"/>
        <family val="0"/>
        <charset val="1"/>
      </rPr>
      <t xml:space="preserve">Hello, we're preparing your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}. We normally ship within 72 hours from our China warehouse, then it takes about [X] days to arrive. Thanks for your patience! 😊</t>
    </r>
  </si>
  <si>
    <r>
      <rPr>
        <sz val="10"/>
        <color rgb="FF000000"/>
        <rFont val="Arial Unicode MS"/>
        <family val="2"/>
      </rPr>
      <t xml:space="preserve">时效以马来实际物流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官方为准；可嵌 </t>
    </r>
    <r>
      <rPr>
        <sz val="10"/>
        <color rgb="FF000000"/>
        <rFont val="PingFang SC"/>
        <family val="0"/>
        <charset val="1"/>
      </rPr>
      <t xml:space="preserve">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</t>
    </r>
    <r>
      <rPr>
        <sz val="10"/>
        <color rgb="FF000000"/>
        <rFont val="Arial Unicode MS"/>
        <family val="2"/>
      </rPr>
      <t xml:space="preserve">变量与订单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物流详情页链接。</t>
    </r>
  </si>
  <si>
    <r>
      <rPr>
        <sz val="10"/>
        <color rgb="FF1F4E5F"/>
        <rFont val="PingFang SC"/>
        <family val="0"/>
        <charset val="1"/>
      </rPr>
      <t xml:space="preserve">Hai, kami sedang menyediakan pesanan anda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}. Biasanya kami menghantar dalam masa 72 jam dari gudang China, kemudian mengambil masa kira-kira [X] hari untuk sampai. Terima kasih atas kesabaran anda! 😊</t>
    </r>
  </si>
  <si>
    <r>
      <rPr>
        <sz val="10"/>
        <color rgb="FF000000"/>
        <rFont val="Arial Unicode MS"/>
        <family val="2"/>
      </rPr>
      <t xml:space="preserve">等待收件 </t>
    </r>
    <r>
      <rPr>
        <sz val="10"/>
        <color rgb="FF000000"/>
        <rFont val="PingFang SC"/>
        <family val="0"/>
        <charset val="1"/>
      </rPr>
      <t xml:space="preserve">Awaiting Pickup</t>
    </r>
  </si>
  <si>
    <r>
      <rPr>
        <sz val="10"/>
        <color rgb="FF000000"/>
        <rFont val="PingFang SC"/>
        <family val="0"/>
        <charset val="1"/>
      </rPr>
      <t xml:space="preserve">Hi, your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is packed and waiting for carrier pickup. We'll update the tracking as soon as it's collected. 😊</t>
    </r>
  </si>
  <si>
    <r>
      <rPr>
        <sz val="10"/>
        <color rgb="FF1F4E5F"/>
        <rFont val="PingFang SC"/>
        <family val="0"/>
        <charset val="1"/>
      </rPr>
      <t xml:space="preserve">Hai, pesanan anda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 sudah dibungkus dan menunggu kurier mengambilnya. Kami akan kemas kini penjejakan sebaik sahaja ia diambil. 😊</t>
    </r>
  </si>
  <si>
    <r>
      <rPr>
        <sz val="10"/>
        <color rgb="FF000000"/>
        <rFont val="Arial Unicode MS"/>
        <family val="2"/>
      </rPr>
      <t xml:space="preserve">已发货 </t>
    </r>
    <r>
      <rPr>
        <sz val="10"/>
        <color rgb="FF000000"/>
        <rFont val="PingFang SC"/>
        <family val="0"/>
        <charset val="1"/>
      </rPr>
      <t xml:space="preserve">Shipped</t>
    </r>
  </si>
  <si>
    <r>
      <rPr>
        <sz val="10"/>
        <color rgb="FF000000"/>
        <rFont val="PingFang SC"/>
        <family val="0"/>
        <charset val="1"/>
      </rPr>
      <t xml:space="preserve">Good news! Your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has shipped 🚚 Track it here: {</t>
    </r>
    <r>
      <rPr>
        <sz val="10"/>
        <color rgb="FF000000"/>
        <rFont val="Arial Unicode MS"/>
        <family val="2"/>
      </rPr>
      <t xml:space="preserve">物流详情页链接</t>
    </r>
    <r>
      <rPr>
        <sz val="10"/>
        <color rgb="FF000000"/>
        <rFont val="PingFang SC"/>
        <family val="0"/>
        <charset val="1"/>
      </rPr>
      <t xml:space="preserve">}. Estimated delivery: {</t>
    </r>
    <r>
      <rPr>
        <sz val="10"/>
        <color rgb="FF000000"/>
        <rFont val="Arial Unicode MS"/>
        <family val="2"/>
      </rPr>
      <t xml:space="preserve">预计送达</t>
    </r>
    <r>
      <rPr>
        <sz val="10"/>
        <color rgb="FF000000"/>
        <rFont val="PingFang SC"/>
        <family val="0"/>
        <charset val="1"/>
      </rPr>
      <t xml:space="preserve">}. Let us know if you have any questions! 😊</t>
    </r>
  </si>
  <si>
    <r>
      <rPr>
        <sz val="10"/>
        <color rgb="FF1F4E5F"/>
        <rFont val="PingFang SC"/>
        <family val="0"/>
        <charset val="1"/>
      </rPr>
      <t xml:space="preserve">Berita baik! Pesanan anda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 telah dihantar 🚚 Jejaki di sini: {</t>
    </r>
    <r>
      <rPr>
        <sz val="10"/>
        <color rgb="FF1F4E5F"/>
        <rFont val="Arial Unicode MS"/>
        <family val="2"/>
      </rPr>
      <t xml:space="preserve">物流详情页链接</t>
    </r>
    <r>
      <rPr>
        <sz val="10"/>
        <color rgb="FF1F4E5F"/>
        <rFont val="PingFang SC"/>
        <family val="0"/>
        <charset val="1"/>
      </rPr>
      <t xml:space="preserve">}. Anggaran sampai: {</t>
    </r>
    <r>
      <rPr>
        <sz val="10"/>
        <color rgb="FF1F4E5F"/>
        <rFont val="Arial Unicode MS"/>
        <family val="2"/>
      </rPr>
      <t xml:space="preserve">预计送达</t>
    </r>
    <r>
      <rPr>
        <sz val="10"/>
        <color rgb="FF1F4E5F"/>
        <rFont val="PingFang SC"/>
        <family val="0"/>
        <charset val="1"/>
      </rPr>
      <t xml:space="preserve">}. Beritahu kami jika ada soalan! 😊</t>
    </r>
  </si>
  <si>
    <r>
      <rPr>
        <sz val="10"/>
        <color rgb="FF000000"/>
        <rFont val="Arial Unicode MS"/>
        <family val="2"/>
      </rPr>
      <t xml:space="preserve">已送达 </t>
    </r>
    <r>
      <rPr>
        <sz val="10"/>
        <color rgb="FF000000"/>
        <rFont val="PingFang SC"/>
        <family val="0"/>
        <charset val="1"/>
      </rPr>
      <t xml:space="preserve">Delivered</t>
    </r>
  </si>
  <si>
    <r>
      <rPr>
        <sz val="10"/>
        <color rgb="FF000000"/>
        <rFont val="PingFang SC"/>
        <family val="0"/>
        <charset val="1"/>
      </rPr>
      <t xml:space="preserve">Hi, our records show your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has been delivered 📦 Hope you love it! If anything's not right, contact us within [X] days and we'll help. A review would mean a lot! ⭐</t>
    </r>
  </si>
  <si>
    <r>
      <rPr>
        <sz val="10"/>
        <color rgb="FF1F4E5F"/>
        <rFont val="PingFang SC"/>
        <family val="0"/>
        <charset val="1"/>
      </rPr>
      <t xml:space="preserve">Hai, rekod kami menunjukkan pesanan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 telah dihantar 📦 Harap anda sukakannya! Jika ada apa-apa masalah, hubungi kami dalam [X] hari dan kami akan bantu. Ulasan anda amat dihargai! ⭐</t>
    </r>
  </si>
  <si>
    <r>
      <rPr>
        <sz val="10"/>
        <color rgb="FF000000"/>
        <rFont val="Arial Unicode MS"/>
        <family val="2"/>
      </rPr>
      <t xml:space="preserve">已完成 </t>
    </r>
    <r>
      <rPr>
        <sz val="10"/>
        <color rgb="FF000000"/>
        <rFont val="PingFang SC"/>
        <family val="0"/>
        <charset val="1"/>
      </rPr>
      <t xml:space="preserve">Completed</t>
    </r>
  </si>
  <si>
    <t xml:space="preserve">Thank you for shopping with us! 🥰 We hope you're happy with your purchase. If you have a moment, a 5-star review helps our small shop a lot. See you again!</t>
  </si>
  <si>
    <r>
      <rPr>
        <sz val="10"/>
        <color rgb="FF000000"/>
        <rFont val="Arial Unicode MS"/>
        <family val="2"/>
      </rPr>
      <t xml:space="preserve">可附小额优惠券激励好评</t>
    </r>
    <r>
      <rPr>
        <sz val="10"/>
        <color rgb="FF000000"/>
        <rFont val="PingFang SC"/>
        <family val="0"/>
        <charset val="1"/>
      </rPr>
      <t xml:space="preserve">+</t>
    </r>
    <r>
      <rPr>
        <sz val="10"/>
        <color rgb="FF000000"/>
        <rFont val="Arial Unicode MS"/>
        <family val="2"/>
      </rPr>
      <t xml:space="preserve">复购。</t>
    </r>
  </si>
  <si>
    <t xml:space="preserve">Terima kasih kerana membeli-belah dengan kami! 🥰 Harap anda berpuas hati. Jika ada masa, ulasan 5 bintang amat membantu kedai kecil kami. Jumpa lagi!</t>
  </si>
  <si>
    <r>
      <rPr>
        <sz val="10"/>
        <color rgb="FF000000"/>
        <rFont val="Arial Unicode MS"/>
        <family val="2"/>
      </rPr>
      <t xml:space="preserve">已取消 </t>
    </r>
    <r>
      <rPr>
        <sz val="10"/>
        <color rgb="FF000000"/>
        <rFont val="PingFang SC"/>
        <family val="0"/>
        <charset val="1"/>
      </rPr>
      <t xml:space="preserve">Cancelled</t>
    </r>
  </si>
  <si>
    <r>
      <rPr>
        <sz val="10"/>
        <color rgb="FF000000"/>
        <rFont val="PingFang SC"/>
        <family val="0"/>
        <charset val="1"/>
      </rPr>
      <t xml:space="preserve">Hi, your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has been cancelled. If this was a mistake or you'd like to reorder, we're happy to help — just let us know! 😊</t>
    </r>
  </si>
  <si>
    <r>
      <rPr>
        <sz val="10"/>
        <color rgb="FF1F4E5F"/>
        <rFont val="PingFang SC"/>
        <family val="0"/>
        <charset val="1"/>
      </rPr>
      <t xml:space="preserve">Hai, pesanan anda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 telah dibatalkan. Jika ini satu kesilapan atau anda ingin memesan semula, kami sedia membantu — beritahu kami sahaja! 😊</t>
    </r>
  </si>
  <si>
    <r>
      <rPr>
        <sz val="10"/>
        <color rgb="FF000000"/>
        <rFont val="Arial Unicode MS"/>
        <family val="2"/>
      </rPr>
      <t xml:space="preserve">退货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退款 </t>
    </r>
    <r>
      <rPr>
        <sz val="10"/>
        <color rgb="FF000000"/>
        <rFont val="PingFang SC"/>
        <family val="0"/>
        <charset val="1"/>
      </rPr>
      <t xml:space="preserve">Return/Refund</t>
    </r>
  </si>
  <si>
    <r>
      <rPr>
        <sz val="10"/>
        <color rgb="FF000000"/>
        <rFont val="PingFang SC"/>
        <family val="0"/>
        <charset val="1"/>
      </rPr>
      <t xml:space="preserve">We're sorry there's an issue with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🙏 Could you share a photo/short video of the problem? We'll resolve it quickly — refund, replacement or partial refund, whichever you prefer. Your satisfaction matters to us.</t>
    </r>
  </si>
  <si>
    <t xml:space="preserve">先稳情绪→引导私信→给补偿方案。</t>
  </si>
  <si>
    <r>
      <rPr>
        <sz val="10"/>
        <color rgb="FF1F4E5F"/>
        <rFont val="PingFang SC"/>
        <family val="0"/>
        <charset val="1"/>
      </rPr>
      <t xml:space="preserve">Kami minta maaf atas masalah dengan pesanan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 🙏 Boleh anda kongsikan gambar/video pendek masalah itu? Kami akan selesaikan dengan cepat — bayaran balik, gantian atau bayaran balik separa, ikut pilihan anda. Kepuasan anda penting bagi kami.</t>
    </r>
  </si>
  <si>
    <r>
      <rPr>
        <b val="true"/>
        <sz val="10"/>
        <color rgb="FF000000"/>
        <rFont val="Arial Unicode MS"/>
        <family val="2"/>
      </rPr>
      <t xml:space="preserve">常见问题 </t>
    </r>
    <r>
      <rPr>
        <b val="true"/>
        <sz val="10"/>
        <color rgb="FF000000"/>
        <rFont val="PingFang SC"/>
        <family val="0"/>
        <charset val="1"/>
      </rPr>
      <t xml:space="preserve">FAQ</t>
    </r>
  </si>
  <si>
    <t xml:space="preserve">物流时效</t>
  </si>
  <si>
    <t xml:space="preserve">Orders ship from our China warehouse, usually within 72 hours, and typically arrive in about [X] calendar days. You'll get a tracking number once shipped. 😊</t>
  </si>
  <si>
    <t xml:space="preserve">Pesanan dihantar dari gudang China kami, biasanya dalam 72 jam, dan kebiasaannya sampai dalam kira-kira [X] hari. Anda akan menerima nombor penjejakan selepas dihantar. 😊</t>
  </si>
  <si>
    <r>
      <rPr>
        <sz val="10"/>
        <color rgb="FF000000"/>
        <rFont val="Arial Unicode MS"/>
        <family val="2"/>
      </rPr>
      <t xml:space="preserve">尺码 </t>
    </r>
    <r>
      <rPr>
        <sz val="10"/>
        <color rgb="FF000000"/>
        <rFont val="PingFang SC"/>
        <family val="0"/>
        <charset val="1"/>
      </rPr>
      <t xml:space="preserve">Size</t>
    </r>
  </si>
  <si>
    <t xml:space="preserve">Please check the size chart on the product page. If you tell me your height / weight / usual size, I'll recommend the best fit. 😊</t>
  </si>
  <si>
    <t xml:space="preserve">退货多因尺码→上架前写清尺码表。</t>
  </si>
  <si>
    <t xml:space="preserve">Sila rujuk carta saiz di halaman produk. Jika anda beritahu tinggi / berat / saiz biasa anda, saya boleh cadangkan saiz yang paling sesuai. 😊</t>
  </si>
  <si>
    <r>
      <rPr>
        <sz val="10"/>
        <color rgb="FF000000"/>
        <rFont val="Arial Unicode MS"/>
        <family val="2"/>
      </rPr>
      <t xml:space="preserve">材质 </t>
    </r>
    <r>
      <rPr>
        <sz val="10"/>
        <color rgb="FF000000"/>
        <rFont val="PingFang SC"/>
        <family val="0"/>
        <charset val="1"/>
      </rPr>
      <t xml:space="preserve">Material</t>
    </r>
  </si>
  <si>
    <r>
      <rPr>
        <sz val="10"/>
        <color rgb="FF000000"/>
        <rFont val="PingFang SC"/>
        <family val="0"/>
        <charset val="1"/>
      </rPr>
      <t xml:space="preserve">The material is [</t>
    </r>
    <r>
      <rPr>
        <sz val="10"/>
        <color rgb="FF000000"/>
        <rFont val="Arial Unicode MS"/>
        <family val="2"/>
      </rPr>
      <t xml:space="preserve">材质</t>
    </r>
    <r>
      <rPr>
        <sz val="10"/>
        <color rgb="FF000000"/>
        <rFont val="PingFang SC"/>
        <family val="0"/>
        <charset val="1"/>
      </rPr>
      <t xml:space="preserve">], as listed in the product details. Please note colours may vary slightly due to lighting and screens. 😊</t>
    </r>
  </si>
  <si>
    <r>
      <rPr>
        <sz val="10"/>
        <color rgb="FF1F4E5F"/>
        <rFont val="PingFang SC"/>
        <family val="0"/>
        <charset val="1"/>
      </rPr>
      <t xml:space="preserve">Bahannya ialah [</t>
    </r>
    <r>
      <rPr>
        <sz val="10"/>
        <color rgb="FF1F4E5F"/>
        <rFont val="Arial Unicode MS"/>
        <family val="2"/>
      </rPr>
      <t xml:space="preserve">材质</t>
    </r>
    <r>
      <rPr>
        <sz val="10"/>
        <color rgb="FF1F4E5F"/>
        <rFont val="PingFang SC"/>
        <family val="0"/>
        <charset val="1"/>
      </rPr>
      <t xml:space="preserve">], seperti tertera di butiran produk. Sila ambil maklum warna mungkin berbeza sedikit kerana pencahayaan dan skrin. 😊</t>
    </r>
  </si>
  <si>
    <r>
      <rPr>
        <sz val="10"/>
        <color rgb="FF000000"/>
        <rFont val="Arial Unicode MS"/>
        <family val="2"/>
      </rPr>
      <t xml:space="preserve">退换货 </t>
    </r>
    <r>
      <rPr>
        <sz val="10"/>
        <color rgb="FF000000"/>
        <rFont val="PingFang SC"/>
        <family val="0"/>
        <charset val="1"/>
      </rPr>
      <t xml:space="preserve">Return/Exchange</t>
    </r>
  </si>
  <si>
    <t xml:space="preserve">Yes — if the item has a quality issue or doesn't match the description, contact us within [X] days with a photo/video and we'll arrange a return, exchange or refund. 🙏</t>
  </si>
  <si>
    <r>
      <rPr>
        <sz val="10"/>
        <color rgb="FF000000"/>
        <rFont val="Arial Unicode MS"/>
        <family val="2"/>
      </rPr>
      <t xml:space="preserve">退换政策以官方</t>
    </r>
    <r>
      <rPr>
        <sz val="10"/>
        <color rgb="FF000000"/>
        <rFont val="PingFang SC"/>
        <family val="0"/>
        <charset val="1"/>
      </rPr>
      <t xml:space="preserve">+</t>
    </r>
    <r>
      <rPr>
        <sz val="10"/>
        <color rgb="FF000000"/>
        <rFont val="Arial Unicode MS"/>
        <family val="2"/>
      </rPr>
      <t xml:space="preserve">本店为准。</t>
    </r>
  </si>
  <si>
    <t xml:space="preserve">Boleh — jika produk ada masalah kualiti atau tidak sepadan dengan penerangan, hubungi kami dalam [X] hari dengan gambar/video dan kami akan uruskan pemulangan, pertukaran atau bayaran balik. 🙏</t>
  </si>
  <si>
    <r>
      <rPr>
        <sz val="10"/>
        <color rgb="FF000000"/>
        <rFont val="Arial Unicode MS"/>
        <family val="2"/>
      </rPr>
      <t xml:space="preserve">优惠券 </t>
    </r>
    <r>
      <rPr>
        <sz val="10"/>
        <color rgb="FF000000"/>
        <rFont val="PingFang SC"/>
        <family val="0"/>
        <charset val="1"/>
      </rPr>
      <t xml:space="preserve">Voucher</t>
    </r>
  </si>
  <si>
    <t xml:space="preserve">Let me check for you. 😊 We often have new-customer vouchers and bundle deals — tap 'Vouchers' on our shop page, or buy [X]+ to save more!</t>
  </si>
  <si>
    <t xml:space="preserve">Biar saya semakkan untuk anda. 😊 Kami selalu ada baucar pelanggan baharu dan tawaran pakej — klik 'Baucar' di halaman kedai, atau beli [X]+ untuk jimat lebih!</t>
  </si>
  <si>
    <r>
      <rPr>
        <sz val="10"/>
        <color rgb="FF000000"/>
        <rFont val="Arial Unicode MS"/>
        <family val="2"/>
      </rPr>
      <t xml:space="preserve">赠品 </t>
    </r>
    <r>
      <rPr>
        <sz val="10"/>
        <color rgb="FF000000"/>
        <rFont val="PingFang SC"/>
        <family val="0"/>
        <charset val="1"/>
      </rPr>
      <t xml:space="preserve">Free gift</t>
    </r>
  </si>
  <si>
    <t xml:space="preserve">Let me look into this for you. 😊</t>
  </si>
  <si>
    <t xml:space="preserve">平台预设保通用性话术。</t>
  </si>
  <si>
    <t xml:space="preserve">Biar saya semak dahulu untuk anda. 😊</t>
  </si>
  <si>
    <r>
      <rPr>
        <sz val="10"/>
        <color rgb="FF000000"/>
        <rFont val="Arial Unicode MS"/>
        <family val="2"/>
      </rPr>
      <t xml:space="preserve">发票 </t>
    </r>
    <r>
      <rPr>
        <sz val="10"/>
        <color rgb="FF000000"/>
        <rFont val="PingFang SC"/>
        <family val="0"/>
        <charset val="1"/>
      </rPr>
      <t xml:space="preserve">Invoice</t>
    </r>
  </si>
  <si>
    <t xml:space="preserve">Platform invoices are issued by TikTok Shop. You can view/download them from your order or the Help Center. If you need shop details, let me know. 😊</t>
  </si>
  <si>
    <r>
      <rPr>
        <sz val="10"/>
        <color rgb="FF000000"/>
        <rFont val="Arial Unicode MS"/>
        <family val="2"/>
      </rPr>
      <t xml:space="preserve">发票主体如 </t>
    </r>
    <r>
      <rPr>
        <sz val="10"/>
        <color rgb="FF000000"/>
        <rFont val="PingFang SC"/>
        <family val="0"/>
        <charset val="1"/>
      </rPr>
      <t xml:space="preserve">TikTok Shop (Malaysia) Sdn. Bhd.</t>
    </r>
  </si>
  <si>
    <t xml:space="preserve">Invois platform dikeluarkan oleh TikTok Shop. Anda boleh lihat/muat turun dari pesanan anda atau Pusat Bantuan. Jika perlukan butiran kedai, beritahu saya. 😊</t>
  </si>
  <si>
    <t xml:space="preserve">未收到货</t>
  </si>
  <si>
    <r>
      <rPr>
        <sz val="10"/>
        <color rgb="FF000000"/>
        <rFont val="PingFang SC"/>
        <family val="0"/>
        <charset val="1"/>
      </rPr>
      <t xml:space="preserve">I'm sorry for the wait 🙏 Let me check the latest tracking for order 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right away and get back to you. If it's delayed beyond the estimate, we'll make it right.</t>
    </r>
  </si>
  <si>
    <r>
      <rPr>
        <sz val="10"/>
        <color rgb="FF1F4E5F"/>
        <rFont val="PingFang SC"/>
        <family val="0"/>
        <charset val="1"/>
      </rPr>
      <t xml:space="preserve">Maaf atas penantian 🙏 Biar saya semak penjejakan terkini untuk pesanan {</t>
    </r>
    <r>
      <rPr>
        <sz val="10"/>
        <color rgb="FF1F4E5F"/>
        <rFont val="Arial Unicode MS"/>
        <family val="2"/>
      </rPr>
      <t xml:space="preserve">订单编号</t>
    </r>
    <r>
      <rPr>
        <sz val="10"/>
        <color rgb="FF1F4E5F"/>
        <rFont val="PingFang SC"/>
        <family val="0"/>
        <charset val="1"/>
      </rPr>
      <t xml:space="preserve">} sekarang dan maklumkan anda. Jika lewat melebihi anggaran, kami akan betulkan keadaan.</t>
    </r>
  </si>
  <si>
    <t xml:space="preserve">差评应对</t>
  </si>
  <si>
    <t xml:space="preserve">I'm really sorry about your experience 🙏 I'd like to make this right — may I offer a [partial refund / replacement / voucher]? Could we continue in chat so I can help you directly?</t>
  </si>
  <si>
    <r>
      <rPr>
        <sz val="10"/>
        <color rgb="FF000000"/>
        <rFont val="PingFang SC"/>
        <family val="0"/>
        <charset val="1"/>
      </rPr>
      <t xml:space="preserve">24h</t>
    </r>
    <r>
      <rPr>
        <sz val="10"/>
        <color rgb="FF000000"/>
        <rFont val="Arial Unicode MS"/>
        <family val="2"/>
      </rPr>
      <t xml:space="preserve">内公开回复→引导私信→给补偿→协商改评。</t>
    </r>
  </si>
  <si>
    <t xml:space="preserve">Saya betul-betul minta maaf atas pengalaman anda 🙏 Saya ingin perbetulkannya — boleh saya tawarkan [bayaran balik separa / gantian / baucar]? Boleh kita teruskan dalam chat supaya saya boleh bantu terus?</t>
  </si>
  <si>
    <r>
      <rPr>
        <b val="true"/>
        <sz val="10"/>
        <color rgb="FF000000"/>
        <rFont val="Arial Unicode MS"/>
        <family val="2"/>
      </rPr>
      <t xml:space="preserve">时效红线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设置</t>
    </r>
  </si>
  <si>
    <r>
      <rPr>
        <sz val="10"/>
        <color rgb="FF000000"/>
        <rFont val="PingFang SC"/>
        <family val="0"/>
        <charset val="1"/>
      </rPr>
      <t xml:space="preserve">24 </t>
    </r>
    <r>
      <rPr>
        <sz val="10"/>
        <color rgb="FF000000"/>
        <rFont val="Arial Unicode MS"/>
        <family val="2"/>
      </rPr>
      <t xml:space="preserve">小时响应率</t>
    </r>
  </si>
  <si>
    <r>
      <rPr>
        <sz val="10"/>
        <color rgb="FF000000"/>
        <rFont val="Arial Unicode MS"/>
        <family val="2"/>
      </rPr>
      <t xml:space="preserve">过去 </t>
    </r>
    <r>
      <rPr>
        <sz val="10"/>
        <color rgb="FF000000"/>
        <rFont val="PingFang SC"/>
        <family val="0"/>
        <charset val="1"/>
      </rPr>
      <t xml:space="preserve">7 </t>
    </r>
    <r>
      <rPr>
        <sz val="10"/>
        <color rgb="FF000000"/>
        <rFont val="Arial Unicode MS"/>
        <family val="2"/>
      </rPr>
      <t xml:space="preserve">天口径：</t>
    </r>
    <r>
      <rPr>
        <sz val="10"/>
        <color rgb="FF000000"/>
        <rFont val="PingFang SC"/>
        <family val="0"/>
        <charset val="1"/>
      </rPr>
      <t xml:space="preserve">24h </t>
    </r>
    <r>
      <rPr>
        <sz val="10"/>
        <color rgb="FF000000"/>
        <rFont val="Arial Unicode MS"/>
        <family val="2"/>
      </rPr>
      <t xml:space="preserve">内被回复的咨询会话 </t>
    </r>
    <r>
      <rPr>
        <sz val="10"/>
        <color rgb="FF000000"/>
        <rFont val="PingFang SC"/>
        <family val="0"/>
        <charset val="1"/>
      </rPr>
      <t xml:space="preserve">÷ </t>
    </r>
    <r>
      <rPr>
        <sz val="10"/>
        <color rgb="FF000000"/>
        <rFont val="Arial Unicode MS"/>
        <family val="2"/>
      </rPr>
      <t xml:space="preserve">咨询会话总数。计入店铺评分『客户服务』维度。</t>
    </r>
  </si>
  <si>
    <r>
      <rPr>
        <sz val="10"/>
        <color rgb="FF000000"/>
        <rFont val="Arial Unicode MS"/>
        <family val="2"/>
      </rPr>
      <t xml:space="preserve">以官方后台为准 ｜ 核对日期：</t>
    </r>
    <r>
      <rPr>
        <sz val="10"/>
        <color rgb="FF000000"/>
        <rFont val="PingFang SC"/>
        <family val="0"/>
        <charset val="1"/>
      </rPr>
      <t xml:space="preserve">____</t>
    </r>
  </si>
  <si>
    <r>
      <rPr>
        <sz val="10"/>
        <color rgb="FF000000"/>
        <rFont val="PingFang SC"/>
        <family val="0"/>
        <charset val="1"/>
      </rPr>
      <t xml:space="preserve">48 </t>
    </r>
    <r>
      <rPr>
        <sz val="10"/>
        <color rgb="FF000000"/>
        <rFont val="Arial Unicode MS"/>
        <family val="2"/>
      </rPr>
      <t xml:space="preserve">小时超时</t>
    </r>
  </si>
  <si>
    <r>
      <rPr>
        <sz val="10"/>
        <color rgb="FF000000"/>
        <rFont val="Arial Unicode MS"/>
        <family val="2"/>
      </rPr>
      <t xml:space="preserve">客服超 </t>
    </r>
    <r>
      <rPr>
        <sz val="10"/>
        <color rgb="FF000000"/>
        <rFont val="PingFang SC"/>
        <family val="0"/>
        <charset val="1"/>
      </rPr>
      <t xml:space="preserve">48 </t>
    </r>
    <r>
      <rPr>
        <sz val="10"/>
        <color rgb="FF000000"/>
        <rFont val="Arial Unicode MS"/>
        <family val="2"/>
      </rPr>
      <t xml:space="preserve">小时未回复 → 会话超时自动关闭。</t>
    </r>
  </si>
  <si>
    <r>
      <rPr>
        <sz val="10"/>
        <color rgb="FF000000"/>
        <rFont val="PingFang SC"/>
        <family val="0"/>
        <charset val="1"/>
      </rPr>
      <t xml:space="preserve">20 </t>
    </r>
    <r>
      <rPr>
        <sz val="10"/>
        <color rgb="FF000000"/>
        <rFont val="Arial Unicode MS"/>
        <family val="2"/>
      </rPr>
      <t xml:space="preserve">小时『即将过期』</t>
    </r>
  </si>
  <si>
    <r>
      <rPr>
        <sz val="10"/>
        <color rgb="FF000000"/>
        <rFont val="Arial Unicode MS"/>
        <family val="2"/>
      </rPr>
      <t xml:space="preserve">超 </t>
    </r>
    <r>
      <rPr>
        <sz val="10"/>
        <color rgb="FF000000"/>
        <rFont val="PingFang SC"/>
        <family val="0"/>
        <charset val="1"/>
      </rPr>
      <t xml:space="preserve">20 </t>
    </r>
    <r>
      <rPr>
        <sz val="10"/>
        <color rgb="FF000000"/>
        <rFont val="Arial Unicode MS"/>
        <family val="2"/>
      </rPr>
      <t xml:space="preserve">小时未回复 → 收件箱标『即将过期』。请优先处理。</t>
    </r>
  </si>
  <si>
    <r>
      <rPr>
        <sz val="10"/>
        <color rgb="FF000000"/>
        <rFont val="PingFang SC"/>
        <family val="0"/>
        <charset val="1"/>
      </rPr>
      <t xml:space="preserve">30 </t>
    </r>
    <r>
      <rPr>
        <sz val="10"/>
        <color rgb="FF000000"/>
        <rFont val="Arial Unicode MS"/>
        <family val="2"/>
      </rPr>
      <t xml:space="preserve">天历史会话</t>
    </r>
  </si>
  <si>
    <r>
      <rPr>
        <sz val="10"/>
        <color rgb="FF000000"/>
        <rFont val="Arial Unicode MS"/>
        <family val="2"/>
      </rPr>
      <t xml:space="preserve">历史会话 </t>
    </r>
    <r>
      <rPr>
        <sz val="10"/>
        <color rgb="FF000000"/>
        <rFont val="PingFang SC"/>
        <family val="0"/>
        <charset val="1"/>
      </rPr>
      <t xml:space="preserve">30 </t>
    </r>
    <r>
      <rPr>
        <sz val="10"/>
        <color rgb="FF000000"/>
        <rFont val="Arial Unicode MS"/>
        <family val="2"/>
      </rPr>
      <t xml:space="preserve">天后不可再回复。</t>
    </r>
  </si>
  <si>
    <t xml:space="preserve">可联系买家</t>
  </si>
  <si>
    <r>
      <rPr>
        <sz val="10"/>
        <color rgb="FF000000"/>
        <rFont val="Arial Unicode MS"/>
        <family val="2"/>
      </rPr>
      <t xml:space="preserve">订单创建 </t>
    </r>
    <r>
      <rPr>
        <sz val="10"/>
        <color rgb="FF000000"/>
        <rFont val="PingFang SC"/>
        <family val="0"/>
        <charset val="1"/>
      </rPr>
      <t xml:space="preserve">60 </t>
    </r>
    <r>
      <rPr>
        <sz val="10"/>
        <color rgb="FF000000"/>
        <rFont val="Arial Unicode MS"/>
        <family val="2"/>
      </rPr>
      <t xml:space="preserve">天内 或 有进行中逆向</t>
    </r>
    <r>
      <rPr>
        <sz val="10"/>
        <color rgb="FF000000"/>
        <rFont val="PingFang SC"/>
        <family val="0"/>
        <charset val="1"/>
      </rPr>
      <t xml:space="preserve">(</t>
    </r>
    <r>
      <rPr>
        <sz val="10"/>
        <color rgb="FF000000"/>
        <rFont val="Arial Unicode MS"/>
        <family val="2"/>
      </rPr>
      <t xml:space="preserve">退款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退货</t>
    </r>
    <r>
      <rPr>
        <sz val="10"/>
        <color rgb="FF000000"/>
        <rFont val="PingFang SC"/>
        <family val="0"/>
        <charset val="1"/>
      </rPr>
      <t xml:space="preserve">)</t>
    </r>
    <r>
      <rPr>
        <sz val="10"/>
        <color rgb="FF000000"/>
        <rFont val="Arial Unicode MS"/>
        <family val="2"/>
      </rPr>
      <t xml:space="preserve">单的买家可联系。</t>
    </r>
  </si>
  <si>
    <t xml:space="preserve">店铺评分展示门槛</t>
  </si>
  <si>
    <r>
      <rPr>
        <sz val="10"/>
        <color rgb="FF000000"/>
        <rFont val="Arial Unicode MS"/>
        <family val="2"/>
      </rPr>
      <t xml:space="preserve">基于过去 </t>
    </r>
    <r>
      <rPr>
        <sz val="10"/>
        <color rgb="FF000000"/>
        <rFont val="PingFang SC"/>
        <family val="0"/>
        <charset val="1"/>
      </rPr>
      <t xml:space="preserve">90 </t>
    </r>
    <r>
      <rPr>
        <sz val="10"/>
        <color rgb="FF000000"/>
        <rFont val="Arial Unicode MS"/>
        <family val="2"/>
      </rPr>
      <t xml:space="preserve">天表现、每日更新；需 ≥</t>
    </r>
    <r>
      <rPr>
        <sz val="10"/>
        <color rgb="FF000000"/>
        <rFont val="PingFang SC"/>
        <family val="0"/>
        <charset val="1"/>
      </rPr>
      <t xml:space="preserve">30 </t>
    </r>
    <r>
      <rPr>
        <sz val="10"/>
        <color rgb="FF000000"/>
        <rFont val="Arial Unicode MS"/>
        <family val="2"/>
      </rPr>
      <t xml:space="preserve">已交付单且无欺诈单才展示店铺体验分</t>
    </r>
    <r>
      <rPr>
        <sz val="10"/>
        <color rgb="FF000000"/>
        <rFont val="PingFang SC"/>
        <family val="0"/>
        <charset val="1"/>
      </rPr>
      <t xml:space="preserve">(0–5)</t>
    </r>
    <r>
      <rPr>
        <sz val="10"/>
        <color rgb="FF000000"/>
        <rFont val="Arial Unicode MS"/>
        <family val="2"/>
      </rPr>
      <t xml:space="preserve">。</t>
    </r>
  </si>
  <si>
    <t xml:space="preserve">跨境客服必做</t>
  </si>
  <si>
    <r>
      <rPr>
        <sz val="10"/>
        <color rgb="FF000000"/>
        <rFont val="Arial Unicode MS"/>
        <family val="2"/>
      </rPr>
      <t xml:space="preserve">① 开实时翻译</t>
    </r>
    <r>
      <rPr>
        <sz val="10"/>
        <color rgb="FF000000"/>
        <rFont val="PingFang SC"/>
        <family val="0"/>
        <charset val="1"/>
      </rPr>
      <t xml:space="preserve">(Volctrans/</t>
    </r>
    <r>
      <rPr>
        <sz val="10"/>
        <color rgb="FF000000"/>
        <rFont val="Arial Unicode MS"/>
        <family val="2"/>
      </rPr>
      <t xml:space="preserve">火山翻译</t>
    </r>
    <r>
      <rPr>
        <sz val="10"/>
        <color rgb="FF000000"/>
        <rFont val="PingFang SC"/>
        <family val="0"/>
        <charset val="1"/>
      </rPr>
      <t xml:space="preserve">)</t>
    </r>
    <r>
      <rPr>
        <sz val="10"/>
        <color rgb="FF000000"/>
        <rFont val="Arial Unicode MS"/>
        <family val="2"/>
      </rPr>
      <t xml:space="preserve">、中文输入避免简称口头禅；② 按 </t>
    </r>
    <r>
      <rPr>
        <sz val="10"/>
        <color rgb="FF000000"/>
        <rFont val="PingFang SC"/>
        <family val="0"/>
        <charset val="1"/>
      </rPr>
      <t xml:space="preserve">8 </t>
    </r>
    <r>
      <rPr>
        <sz val="10"/>
        <color rgb="FF000000"/>
        <rFont val="Arial Unicode MS"/>
        <family val="2"/>
      </rPr>
      <t xml:space="preserve">个订单状态配好自动回复</t>
    </r>
    <r>
      <rPr>
        <sz val="10"/>
        <color rgb="FF000000"/>
        <rFont val="PingFang SC"/>
        <family val="0"/>
        <charset val="1"/>
      </rPr>
      <t xml:space="preserve">(</t>
    </r>
    <r>
      <rPr>
        <sz val="10"/>
        <color rgb="FF000000"/>
        <rFont val="Arial Unicode MS"/>
        <family val="2"/>
      </rPr>
      <t xml:space="preserve">尤其待支付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待发货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已发货</t>
    </r>
    <r>
      <rPr>
        <sz val="10"/>
        <color rgb="FF000000"/>
        <rFont val="PingFang SC"/>
        <family val="0"/>
        <charset val="1"/>
      </rPr>
      <t xml:space="preserve">)</t>
    </r>
    <r>
      <rPr>
        <sz val="10"/>
        <color rgb="FF000000"/>
        <rFont val="Arial Unicode MS"/>
        <family val="2"/>
      </rPr>
      <t xml:space="preserve">；③ 问候语</t>
    </r>
    <r>
      <rPr>
        <sz val="10"/>
        <color rgb="FF000000"/>
        <rFont val="PingFang SC"/>
        <family val="0"/>
        <charset val="1"/>
      </rPr>
      <t xml:space="preserve">+FAQ</t>
    </r>
    <r>
      <rPr>
        <sz val="10"/>
        <color rgb="FF000000"/>
        <rFont val="Arial Unicode MS"/>
        <family val="2"/>
      </rPr>
      <t xml:space="preserve">卡片嵌 </t>
    </r>
    <r>
      <rPr>
        <sz val="10"/>
        <color rgb="FF000000"/>
        <rFont val="PingFang SC"/>
        <family val="0"/>
        <charset val="1"/>
      </rPr>
      <t xml:space="preserve">{</t>
    </r>
    <r>
      <rPr>
        <sz val="10"/>
        <color rgb="FF000000"/>
        <rFont val="Arial Unicode MS"/>
        <family val="2"/>
      </rPr>
      <t xml:space="preserve">订单编号</t>
    </r>
    <r>
      <rPr>
        <sz val="10"/>
        <color rgb="FF000000"/>
        <rFont val="PingFang SC"/>
        <family val="0"/>
        <charset val="1"/>
      </rPr>
      <t xml:space="preserve">} </t>
    </r>
    <r>
      <rPr>
        <sz val="10"/>
        <color rgb="FF000000"/>
        <rFont val="Arial Unicode MS"/>
        <family val="2"/>
      </rPr>
      <t xml:space="preserve">变量与订单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物流详情页链接。</t>
    </r>
  </si>
  <si>
    <r>
      <rPr>
        <sz val="10"/>
        <color rgb="FF000000"/>
        <rFont val="PingFang SC"/>
        <family val="0"/>
        <charset val="1"/>
      </rPr>
      <t xml:space="preserve">FAQ </t>
    </r>
    <r>
      <rPr>
        <sz val="10"/>
        <color rgb="FF000000"/>
        <rFont val="Arial Unicode MS"/>
        <family val="2"/>
      </rPr>
      <t xml:space="preserve">卡片参数</t>
    </r>
  </si>
  <si>
    <r>
      <rPr>
        <sz val="10"/>
        <color rgb="FF000000"/>
        <rFont val="PingFang SC"/>
        <family val="0"/>
        <charset val="1"/>
      </rPr>
      <t xml:space="preserve">FAQ </t>
    </r>
    <r>
      <rPr>
        <sz val="10"/>
        <color rgb="FF000000"/>
        <rFont val="Arial Unicode MS"/>
        <family val="2"/>
      </rPr>
      <t xml:space="preserve">卡片最多挑 </t>
    </r>
    <r>
      <rPr>
        <sz val="10"/>
        <color rgb="FF000000"/>
        <rFont val="PingFang SC"/>
        <family val="0"/>
        <charset val="1"/>
      </rPr>
      <t xml:space="preserve">5 </t>
    </r>
    <r>
      <rPr>
        <sz val="10"/>
        <color rgb="FF000000"/>
        <rFont val="Arial Unicode MS"/>
        <family val="2"/>
      </rPr>
      <t xml:space="preserve">条；问题 ≤</t>
    </r>
    <r>
      <rPr>
        <sz val="10"/>
        <color rgb="FF000000"/>
        <rFont val="PingFang SC"/>
        <family val="0"/>
        <charset val="1"/>
      </rPr>
      <t xml:space="preserve">100 </t>
    </r>
    <r>
      <rPr>
        <sz val="10"/>
        <color rgb="FF000000"/>
        <rFont val="Arial Unicode MS"/>
        <family val="2"/>
      </rPr>
      <t xml:space="preserve">字符、相似问题 ≤</t>
    </r>
    <r>
      <rPr>
        <sz val="10"/>
        <color rgb="FF000000"/>
        <rFont val="PingFang SC"/>
        <family val="0"/>
        <charset val="1"/>
      </rPr>
      <t xml:space="preserve">20 </t>
    </r>
    <r>
      <rPr>
        <sz val="10"/>
        <color rgb="FF000000"/>
        <rFont val="Arial Unicode MS"/>
        <family val="2"/>
      </rPr>
      <t xml:space="preserve">个、回复 ≤</t>
    </r>
    <r>
      <rPr>
        <sz val="10"/>
        <color rgb="FF000000"/>
        <rFont val="PingFang SC"/>
        <family val="0"/>
        <charset val="1"/>
      </rPr>
      <t xml:space="preserve">1000 </t>
    </r>
    <r>
      <rPr>
        <sz val="10"/>
        <color rgb="FF000000"/>
        <rFont val="Arial Unicode MS"/>
        <family val="2"/>
      </rPr>
      <t xml:space="preserve">字符、图 ≤</t>
    </r>
    <r>
      <rPr>
        <sz val="10"/>
        <color rgb="FF000000"/>
        <rFont val="PingFang SC"/>
        <family val="0"/>
        <charset val="1"/>
      </rPr>
      <t xml:space="preserve">4 </t>
    </r>
    <r>
      <rPr>
        <sz val="10"/>
        <color rgb="FF000000"/>
        <rFont val="Arial Unicode MS"/>
        <family val="2"/>
      </rPr>
      <t xml:space="preserve">张</t>
    </r>
    <r>
      <rPr>
        <sz val="10"/>
        <color rgb="FF000000"/>
        <rFont val="PingFang SC"/>
        <family val="0"/>
        <charset val="1"/>
      </rPr>
      <t xml:space="preserve">(≤5MB,&gt;100×100px)</t>
    </r>
    <r>
      <rPr>
        <sz val="10"/>
        <color rgb="FF000000"/>
        <rFont val="Arial Unicode MS"/>
        <family val="2"/>
      </rPr>
      <t xml:space="preserve">。仅主账号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总管理员可设置。</t>
    </r>
  </si>
  <si>
    <t xml:space="preserve">预设回复改写提醒</t>
  </si>
  <si>
    <r>
      <rPr>
        <sz val="10"/>
        <color rgb="FF000000"/>
        <rFont val="Arial Unicode MS"/>
        <family val="2"/>
      </rPr>
      <t xml:space="preserve">平台预设回复偏通用，务必按本店真实订单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物流情况改写，提高解决率与 </t>
    </r>
    <r>
      <rPr>
        <sz val="10"/>
        <color rgb="FF000000"/>
        <rFont val="PingFang SC"/>
        <family val="0"/>
        <charset val="1"/>
      </rPr>
      <t xml:space="preserve">24h </t>
    </r>
    <r>
      <rPr>
        <sz val="10"/>
        <color rgb="FF000000"/>
        <rFont val="Arial Unicode MS"/>
        <family val="2"/>
      </rPr>
      <t xml:space="preserve">响应表现。</t>
    </r>
  </si>
  <si>
    <r>
      <rPr>
        <b val="true"/>
        <sz val="10"/>
        <color rgb="FF000000"/>
        <rFont val="Arial Unicode MS"/>
        <family val="2"/>
      </rPr>
      <t xml:space="preserve">履约时效红线</t>
    </r>
    <r>
      <rPr>
        <b val="true"/>
        <sz val="10"/>
        <color rgb="FF000000"/>
        <rFont val="PingFang SC"/>
        <family val="0"/>
        <charset val="1"/>
      </rPr>
      <t xml:space="preserve">·</t>
    </r>
    <r>
      <rPr>
        <b val="true"/>
        <sz val="10"/>
        <color rgb="FF000000"/>
        <rFont val="Arial Unicode MS"/>
        <family val="2"/>
      </rPr>
      <t xml:space="preserve">发货</t>
    </r>
  </si>
  <si>
    <r>
      <rPr>
        <sz val="10"/>
        <color rgb="FF000000"/>
        <rFont val="Arial Unicode MS"/>
        <family val="2"/>
      </rPr>
      <t xml:space="preserve">自发货时效 ≤</t>
    </r>
    <r>
      <rPr>
        <sz val="10"/>
        <color rgb="FF000000"/>
        <rFont val="PingFang SC"/>
        <family val="0"/>
        <charset val="1"/>
      </rPr>
      <t xml:space="preserve">120h</t>
    </r>
  </si>
  <si>
    <r>
      <rPr>
        <sz val="10"/>
        <color rgb="FF000000"/>
        <rFont val="Arial Unicode MS"/>
        <family val="2"/>
      </rPr>
      <t xml:space="preserve">商家自发货：用户支付成功 → 物流商回传入库 </t>
    </r>
    <r>
      <rPr>
        <sz val="10"/>
        <color rgb="FF000000"/>
        <rFont val="PingFang SC"/>
        <family val="0"/>
        <charset val="1"/>
      </rPr>
      <t xml:space="preserve">+ </t>
    </r>
    <r>
      <rPr>
        <sz val="10"/>
        <color rgb="FF000000"/>
        <rFont val="Arial Unicode MS"/>
        <family val="2"/>
      </rPr>
      <t xml:space="preserve">后台显示已发货 ≤ </t>
    </r>
    <r>
      <rPr>
        <sz val="10"/>
        <color rgb="FF000000"/>
        <rFont val="PingFang SC"/>
        <family val="0"/>
        <charset val="1"/>
      </rPr>
      <t xml:space="preserve">120 </t>
    </r>
    <r>
      <rPr>
        <sz val="10"/>
        <color rgb="FF000000"/>
        <rFont val="Arial Unicode MS"/>
        <family val="2"/>
      </rPr>
      <t xml:space="preserve">小时</t>
    </r>
    <r>
      <rPr>
        <sz val="10"/>
        <color rgb="FF000000"/>
        <rFont val="PingFang SC"/>
        <family val="0"/>
        <charset val="1"/>
      </rPr>
      <t xml:space="preserve">(5</t>
    </r>
    <r>
      <rPr>
        <sz val="10"/>
        <color rgb="FF000000"/>
        <rFont val="Arial Unicode MS"/>
        <family val="2"/>
      </rPr>
      <t xml:space="preserve">天</t>
    </r>
    <r>
      <rPr>
        <sz val="10"/>
        <color rgb="FF000000"/>
        <rFont val="PingFang SC"/>
        <family val="0"/>
        <charset val="1"/>
      </rPr>
      <t xml:space="preserve">)</t>
    </r>
    <r>
      <rPr>
        <sz val="10"/>
        <color rgb="FF000000"/>
        <rFont val="Arial Unicode MS"/>
        <family val="2"/>
      </rPr>
      <t xml:space="preserve">；即最迟第 </t>
    </r>
    <r>
      <rPr>
        <sz val="10"/>
        <color rgb="FF000000"/>
        <rFont val="PingFang SC"/>
        <family val="0"/>
        <charset val="1"/>
      </rPr>
      <t xml:space="preserve">4 </t>
    </r>
    <r>
      <rPr>
        <sz val="10"/>
        <color rgb="FF000000"/>
        <rFont val="Arial Unicode MS"/>
        <family val="2"/>
      </rPr>
      <t xml:space="preserve">天送到中转仓，留物流商 </t>
    </r>
    <r>
      <rPr>
        <sz val="10"/>
        <color rgb="FF000000"/>
        <rFont val="PingFang SC"/>
        <family val="0"/>
        <charset val="1"/>
      </rPr>
      <t xml:space="preserve">24h </t>
    </r>
    <r>
      <rPr>
        <sz val="10"/>
        <color rgb="FF000000"/>
        <rFont val="Arial Unicode MS"/>
        <family val="2"/>
      </rPr>
      <t xml:space="preserve">扫描。超时扣分 → 限单。</t>
    </r>
  </si>
  <si>
    <r>
      <rPr>
        <sz val="10"/>
        <color rgb="FF000000"/>
        <rFont val="Arial Unicode MS"/>
        <family val="2"/>
      </rPr>
      <t xml:space="preserve">揽收商家 </t>
    </r>
    <r>
      <rPr>
        <sz val="10"/>
        <color rgb="FF000000"/>
        <rFont val="PingFang SC"/>
        <family val="0"/>
        <charset val="1"/>
      </rPr>
      <t xml:space="preserve">48h</t>
    </r>
  </si>
  <si>
    <r>
      <rPr>
        <sz val="10"/>
        <color rgb="FF000000"/>
        <rFont val="Arial Unicode MS"/>
        <family val="2"/>
      </rPr>
      <t xml:space="preserve">揽收方式：用户支付成功后 </t>
    </r>
    <r>
      <rPr>
        <sz val="10"/>
        <color rgb="FF000000"/>
        <rFont val="PingFang SC"/>
        <family val="0"/>
        <charset val="1"/>
      </rPr>
      <t xml:space="preserve">48 </t>
    </r>
    <r>
      <rPr>
        <sz val="10"/>
        <color rgb="FF000000"/>
        <rFont val="Arial Unicode MS"/>
        <family val="2"/>
      </rPr>
      <t xml:space="preserve">小时内点击发货，且物流商首次上门即成功揽收（两条件须同时满足）。</t>
    </r>
  </si>
  <si>
    <r>
      <rPr>
        <sz val="10"/>
        <color rgb="FF000000"/>
        <rFont val="PingFang SC"/>
        <family val="0"/>
        <charset val="1"/>
      </rPr>
      <t xml:space="preserve">96h </t>
    </r>
    <r>
      <rPr>
        <sz val="10"/>
        <color rgb="FF000000"/>
        <rFont val="Arial Unicode MS"/>
        <family val="2"/>
      </rPr>
      <t xml:space="preserve">入库</t>
    </r>
  </si>
  <si>
    <r>
      <rPr>
        <sz val="10"/>
        <color rgb="FF000000"/>
        <rFont val="Arial Unicode MS"/>
        <family val="2"/>
      </rPr>
      <t xml:space="preserve">商品须 </t>
    </r>
    <r>
      <rPr>
        <sz val="10"/>
        <color rgb="FF000000"/>
        <rFont val="PingFang SC"/>
        <family val="0"/>
        <charset val="1"/>
      </rPr>
      <t xml:space="preserve">96 </t>
    </r>
    <r>
      <rPr>
        <sz val="10"/>
        <color rgb="FF000000"/>
        <rFont val="Arial Unicode MS"/>
        <family val="2"/>
      </rPr>
      <t xml:space="preserve">小时内送达中转仓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货代仓入库，超时罚款扣分（培训口径，以服务商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官方时效为准）。</t>
    </r>
  </si>
  <si>
    <t xml:space="preserve">挂钩店铺评分</t>
  </si>
  <si>
    <r>
      <rPr>
        <sz val="10"/>
        <color rgb="FF000000"/>
        <rFont val="PingFang SC"/>
        <family val="0"/>
        <charset val="1"/>
      </rPr>
      <t xml:space="preserve">30 </t>
    </r>
    <r>
      <rPr>
        <sz val="10"/>
        <color rgb="FF000000"/>
        <rFont val="Arial Unicode MS"/>
        <family val="2"/>
      </rPr>
      <t xml:space="preserve">天商责取消率、</t>
    </r>
    <r>
      <rPr>
        <sz val="10"/>
        <color rgb="FF000000"/>
        <rFont val="PingFang SC"/>
        <family val="0"/>
        <charset val="1"/>
      </rPr>
      <t xml:space="preserve">30 </t>
    </r>
    <r>
      <rPr>
        <sz val="10"/>
        <color rgb="FF000000"/>
        <rFont val="Arial Unicode MS"/>
        <family val="2"/>
      </rPr>
      <t xml:space="preserve">天迟发货率计入店铺评分『履约与物流』维度 —— 跨境发货时效是其直接来源。</t>
    </r>
  </si>
  <si>
    <t xml:space="preserve">物流方案</t>
  </si>
  <si>
    <r>
      <rPr>
        <sz val="10"/>
        <color rgb="FF000000"/>
        <rFont val="Arial Unicode MS"/>
        <family val="2"/>
      </rPr>
      <t xml:space="preserve">平台四方案：</t>
    </r>
    <r>
      <rPr>
        <sz val="10"/>
        <color rgb="FF000000"/>
        <rFont val="PingFang SC"/>
        <family val="0"/>
        <charset val="1"/>
      </rPr>
      <t xml:space="preserve">FBT </t>
    </r>
    <r>
      <rPr>
        <sz val="10"/>
        <color rgb="FF000000"/>
        <rFont val="Arial Unicode MS"/>
        <family val="2"/>
      </rPr>
      <t xml:space="preserve">官方仓 </t>
    </r>
    <r>
      <rPr>
        <sz val="10"/>
        <color rgb="FF000000"/>
        <rFont val="PingFang SC"/>
        <family val="0"/>
        <charset val="1"/>
      </rPr>
      <t xml:space="preserve">/ 3PL </t>
    </r>
    <r>
      <rPr>
        <sz val="10"/>
        <color rgb="FF000000"/>
        <rFont val="Arial Unicode MS"/>
        <family val="2"/>
      </rPr>
      <t xml:space="preserve">对接仓 </t>
    </r>
    <r>
      <rPr>
        <sz val="10"/>
        <color rgb="FF000000"/>
        <rFont val="PingFang SC"/>
        <family val="0"/>
        <charset val="1"/>
      </rPr>
      <t xml:space="preserve">/ 4PL </t>
    </r>
    <r>
      <rPr>
        <sz val="10"/>
        <color rgb="FF000000"/>
        <rFont val="Arial Unicode MS"/>
        <family val="2"/>
      </rPr>
      <t xml:space="preserve">尾程配 </t>
    </r>
    <r>
      <rPr>
        <sz val="10"/>
        <color rgb="FF000000"/>
        <rFont val="PingFang SC"/>
        <family val="0"/>
        <charset val="1"/>
      </rPr>
      <t xml:space="preserve">/ </t>
    </r>
    <r>
      <rPr>
        <sz val="10"/>
        <color rgb="FF000000"/>
        <rFont val="Arial Unicode MS"/>
        <family val="2"/>
      </rPr>
      <t xml:space="preserve">跨境直邮；以后台『物流</t>
    </r>
    <r>
      <rPr>
        <sz val="10"/>
        <color rgb="FF000000"/>
        <rFont val="PingFang SC"/>
        <family val="0"/>
        <charset val="1"/>
      </rPr>
      <t xml:space="preserve">/</t>
    </r>
    <r>
      <rPr>
        <sz val="10"/>
        <color rgb="FF000000"/>
        <rFont val="Arial Unicode MS"/>
        <family val="2"/>
      </rPr>
      <t xml:space="preserve">履约』当前可选方案为准。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</si>
</sst>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0.0%"/>
    <numFmt numFmtId="167" formatCode="0.00%"/>
    <numFmt numFmtId="168" formatCode="&quot;RM&quot;#,##0.00;&quot;(RM&quot;#,##0.00\);\-"/>
    <numFmt numFmtId="169" formatCode="#,##0"/>
    <numFmt numFmtId="170" formatCode="0.00"/>
    <numFmt numFmtId="171" formatCode="\¥#,##0.00;&quot;(¥&quot;#,##0.00\);\-"/>
    <numFmt numFmtId="172" formatCode="yyyy\-mm\-dd"/>
    <numFmt numFmtId="173" formatCode="0"/>
  </numFmts>
  <fonts count="30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 Unicode MS"/>
      <family val="2"/>
    </font>
    <font>
      <b val="true"/>
      <sz val="14"/>
      <color rgb="FFFFFFFF"/>
      <name val="PingFang SC"/>
      <family val="0"/>
      <charset val="1"/>
    </font>
    <font>
      <i val="true"/>
      <sz val="9"/>
      <color rgb="FF404040"/>
      <name val="Arial Unicode MS"/>
      <family val="2"/>
    </font>
    <font>
      <i val="true"/>
      <sz val="9"/>
      <color rgb="FF404040"/>
      <name val="PingFang SC"/>
      <family val="0"/>
      <charset val="1"/>
    </font>
    <font>
      <b val="true"/>
      <sz val="10"/>
      <color rgb="FF9C0006"/>
      <name val="Arial Unicode MS"/>
      <family val="2"/>
    </font>
    <font>
      <sz val="10"/>
      <color rgb="FF000000"/>
      <name val="Arial Unicode MS"/>
      <family val="2"/>
    </font>
    <font>
      <sz val="10"/>
      <color rgb="FF000000"/>
      <name val="PingFang SC"/>
      <family val="0"/>
      <charset val="1"/>
    </font>
    <font>
      <b val="true"/>
      <sz val="10"/>
      <color rgb="FF000000"/>
      <name val="Arial Unicode MS"/>
      <family val="2"/>
    </font>
    <font>
      <b val="true"/>
      <sz val="10"/>
      <color rgb="FF000000"/>
      <name val="PingFang SC"/>
      <family val="0"/>
      <charset val="1"/>
    </font>
    <font>
      <b val="true"/>
      <sz val="10"/>
      <color rgb="FFFFFFFF"/>
      <name val="Arial Unicode MS"/>
      <family val="2"/>
    </font>
    <font>
      <sz val="10"/>
      <color rgb="FF0000FF"/>
      <name val="Arial Unicode MS"/>
      <family val="2"/>
    </font>
    <font>
      <sz val="10"/>
      <color rgb="FF008000"/>
      <name val="Arial Unicode MS"/>
      <family val="2"/>
    </font>
    <font>
      <b val="true"/>
      <sz val="10"/>
      <color rgb="FFFFFFFF"/>
      <name val="PingFang SC"/>
      <family val="0"/>
      <charset val="1"/>
    </font>
    <font>
      <b val="true"/>
      <sz val="10"/>
      <color rgb="FF1F4E5F"/>
      <name val="Arial Unicode MS"/>
      <family val="2"/>
    </font>
    <font>
      <b val="true"/>
      <sz val="10"/>
      <color rgb="FF1F4E5F"/>
      <name val="PingFang SC"/>
      <family val="0"/>
      <charset val="1"/>
    </font>
    <font>
      <b val="true"/>
      <sz val="10"/>
      <color rgb="FF0000FF"/>
      <name val="PingFang SC"/>
      <family val="0"/>
      <charset val="1"/>
    </font>
    <font>
      <sz val="10"/>
      <color rgb="FF808080"/>
      <name val="PingFang SC"/>
      <family val="0"/>
      <charset val="1"/>
    </font>
    <font>
      <sz val="9"/>
      <color rgb="FF404040"/>
      <name val="Arial Unicode MS"/>
      <family val="2"/>
    </font>
    <font>
      <sz val="9"/>
      <color rgb="FF404040"/>
      <name val="PingFang SC"/>
      <family val="0"/>
      <charset val="1"/>
    </font>
    <font>
      <sz val="10"/>
      <color rgb="FF808080"/>
      <name val="Arial Unicode MS"/>
      <family val="2"/>
    </font>
    <font>
      <sz val="10"/>
      <name val="Arial Unicode MS"/>
      <family val="2"/>
    </font>
    <font>
      <sz val="10"/>
      <name val="Arial"/>
      <family val="2"/>
    </font>
    <font>
      <sz val="10"/>
      <color rgb="FF0000FF"/>
      <name val="PingFang SC"/>
      <family val="0"/>
      <charset val="1"/>
    </font>
    <font>
      <b val="true"/>
      <sz val="10"/>
      <color rgb="FF9C0006"/>
      <name val="PingFang SC"/>
      <family val="0"/>
      <charset val="1"/>
    </font>
    <font>
      <sz val="10"/>
      <color rgb="FF1F4E5F"/>
      <name val="PingFang SC"/>
      <family val="0"/>
      <charset val="1"/>
    </font>
    <font>
      <sz val="10"/>
      <color rgb="FF1F4E5F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5F"/>
        <bgColor rgb="FF40404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BE9D6"/>
      </patternFill>
    </fill>
    <fill>
      <patternFill patternType="solid">
        <fgColor rgb="FFFFC7CE"/>
        <bgColor rgb="FFFBE9D6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E2EFDA"/>
      </patternFill>
    </fill>
    <fill>
      <patternFill patternType="solid">
        <fgColor rgb="FFFBE9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PingFang SC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PingFang SC"/>
        <charset val="1"/>
        <family val="0"/>
        <b val="1"/>
        <color rgb="FFBF8F00"/>
        <sz val="10"/>
      </font>
      <fill>
        <patternFill>
          <bgColor rgb="FFFFF2CC"/>
        </patternFill>
      </fill>
    </dxf>
    <dxf>
      <font>
        <name val="PingFang SC"/>
        <charset val="1"/>
        <family val="0"/>
        <b val="1"/>
        <color rgb="FF008000"/>
        <sz val="10"/>
      </font>
      <fill>
        <patternFill>
          <bgColor rgb="FFE2EFDA"/>
        </patternFill>
      </fill>
    </dxf>
    <dxf>
      <font>
        <name val="PingFang SC"/>
        <charset val="1"/>
        <family val="0"/>
        <b val="1"/>
        <color rgb="FF9C0006"/>
        <sz val="10"/>
      </font>
    </dxf>
    <dxf>
      <font>
        <name val="PingFang SC"/>
        <charset val="1"/>
        <family val="0"/>
        <b val="1"/>
        <color rgb="FF008000"/>
        <sz val="10"/>
      </font>
    </dxf>
    <dxf>
      <fill>
        <patternFill>
          <bgColor rgb="FFFFF2CC"/>
        </patternFill>
      </fill>
    </dxf>
    <dxf>
      <font>
        <name val="PingFang SC"/>
        <charset val="1"/>
        <family val="0"/>
        <b val="1"/>
        <color rgb="FFBF8F00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BE9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.73"/>
    <col collapsed="false" customWidth="true" hidden="false" outlineLevel="0" max="2" min="2" style="0" width="20.01"/>
    <col collapsed="false" customWidth="true" hidden="false" outlineLevel="0" max="3" min="3" style="0" width="78.25"/>
    <col collapsed="false" customWidth="true" hidden="false" outlineLevel="0" max="4" min="4" style="0" width="2.73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28.35" hidden="false" customHeight="false" outlineLevel="0" collapsed="false">
      <c r="B4" s="3" t="s">
        <v>2</v>
      </c>
      <c r="C4" s="4" t="s">
        <v>3</v>
      </c>
    </row>
    <row r="5" customFormat="false" ht="28.35" hidden="false" customHeight="false" outlineLevel="0" collapsed="false">
      <c r="B5" s="5" t="s">
        <v>4</v>
      </c>
      <c r="C5" s="6" t="s">
        <v>5</v>
      </c>
    </row>
    <row r="6" customFormat="false" ht="28.35" hidden="false" customHeight="false" outlineLevel="0" collapsed="false">
      <c r="B6" s="5" t="s">
        <v>6</v>
      </c>
      <c r="C6" s="7" t="s">
        <v>7</v>
      </c>
    </row>
    <row r="7" customFormat="false" ht="28.35" hidden="false" customHeight="false" outlineLevel="0" collapsed="false">
      <c r="B7" s="5" t="s">
        <v>8</v>
      </c>
      <c r="C7" s="7" t="s">
        <v>9</v>
      </c>
    </row>
    <row r="8" customFormat="false" ht="15" hidden="false" customHeight="false" outlineLevel="0" collapsed="false">
      <c r="B8" s="5" t="s">
        <v>10</v>
      </c>
      <c r="C8" s="7" t="s">
        <v>11</v>
      </c>
    </row>
    <row r="9" customFormat="false" ht="28.35" hidden="false" customHeight="false" outlineLevel="0" collapsed="false">
      <c r="B9" s="8" t="s">
        <v>12</v>
      </c>
      <c r="C9" s="9" t="s">
        <v>13</v>
      </c>
    </row>
    <row r="11" customFormat="false" ht="15" hidden="false" customHeight="false" outlineLevel="0" collapsed="false">
      <c r="B11" s="10" t="s">
        <v>14</v>
      </c>
      <c r="C11" s="10" t="s">
        <v>15</v>
      </c>
    </row>
    <row r="12" customFormat="false" ht="15" hidden="false" customHeight="false" outlineLevel="0" collapsed="false">
      <c r="B12" s="11" t="s">
        <v>16</v>
      </c>
      <c r="C12" s="7" t="s">
        <v>17</v>
      </c>
    </row>
    <row r="13" customFormat="false" ht="15" hidden="false" customHeight="false" outlineLevel="0" collapsed="false">
      <c r="B13" s="7" t="s">
        <v>18</v>
      </c>
      <c r="C13" s="7" t="s">
        <v>19</v>
      </c>
    </row>
    <row r="14" customFormat="false" ht="15" hidden="false" customHeight="false" outlineLevel="0" collapsed="false">
      <c r="B14" s="12" t="s">
        <v>20</v>
      </c>
      <c r="C14" s="7" t="s">
        <v>21</v>
      </c>
    </row>
    <row r="15" customFormat="false" ht="15" hidden="false" customHeight="false" outlineLevel="0" collapsed="false">
      <c r="B15" s="13" t="s">
        <v>22</v>
      </c>
      <c r="C15" s="7" t="s">
        <v>23</v>
      </c>
    </row>
    <row r="16" customFormat="false" ht="15" hidden="false" customHeight="false" outlineLevel="0" collapsed="false">
      <c r="B16" s="8" t="s">
        <v>24</v>
      </c>
      <c r="C16" s="7" t="s">
        <v>25</v>
      </c>
    </row>
    <row r="17" customFormat="false" ht="15" hidden="false" customHeight="false" outlineLevel="0" collapsed="false">
      <c r="B17" s="14" t="s">
        <v>26</v>
      </c>
      <c r="C17" s="7" t="s">
        <v>27</v>
      </c>
    </row>
    <row r="19" customFormat="false" ht="15" hidden="false" customHeight="false" outlineLevel="0" collapsed="false">
      <c r="B19" s="10" t="s">
        <v>28</v>
      </c>
      <c r="C19" s="10" t="s">
        <v>29</v>
      </c>
    </row>
    <row r="20" customFormat="false" ht="15" hidden="false" customHeight="false" outlineLevel="0" collapsed="false">
      <c r="B20" s="5" t="s">
        <v>30</v>
      </c>
      <c r="C20" s="7" t="s">
        <v>31</v>
      </c>
    </row>
    <row r="21" customFormat="false" ht="15" hidden="false" customHeight="false" outlineLevel="0" collapsed="false">
      <c r="B21" s="15" t="s">
        <v>32</v>
      </c>
      <c r="C21" s="7" t="s">
        <v>33</v>
      </c>
    </row>
    <row r="22" customFormat="false" ht="15" hidden="false" customHeight="false" outlineLevel="0" collapsed="false">
      <c r="B22" s="5" t="s">
        <v>34</v>
      </c>
      <c r="C22" s="6" t="s">
        <v>35</v>
      </c>
    </row>
    <row r="23" customFormat="false" ht="15" hidden="false" customHeight="false" outlineLevel="0" collapsed="false">
      <c r="B23" s="5" t="s">
        <v>36</v>
      </c>
      <c r="C23" s="7" t="s">
        <v>37</v>
      </c>
    </row>
    <row r="24" customFormat="false" ht="15" hidden="false" customHeight="false" outlineLevel="0" collapsed="false">
      <c r="B24" s="5" t="s">
        <v>38</v>
      </c>
      <c r="C24" s="7" t="s">
        <v>39</v>
      </c>
    </row>
    <row r="25" customFormat="false" ht="15" hidden="false" customHeight="false" outlineLevel="0" collapsed="false">
      <c r="B25" s="5" t="s">
        <v>40</v>
      </c>
      <c r="C25" s="7" t="s">
        <v>41</v>
      </c>
    </row>
    <row r="26" customFormat="false" ht="15" hidden="false" customHeight="false" outlineLevel="0" collapsed="false">
      <c r="B26" s="5" t="s">
        <v>42</v>
      </c>
      <c r="C26" s="7" t="s">
        <v>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2" min="2" style="0" width="11.83"/>
    <col collapsed="false" customWidth="true" hidden="false" outlineLevel="0" max="3" min="3" style="0" width="10.01"/>
    <col collapsed="false" customWidth="true" hidden="false" outlineLevel="0" max="4" min="4" style="0" width="67.33"/>
  </cols>
  <sheetData>
    <row r="1" customFormat="false" ht="25.5" hidden="false" customHeight="true" outlineLevel="0" collapsed="false">
      <c r="A1" s="1" t="s">
        <v>44</v>
      </c>
      <c r="B1" s="1"/>
      <c r="C1" s="1"/>
      <c r="D1" s="1"/>
    </row>
    <row r="2" customFormat="false" ht="30" hidden="false" customHeight="true" outlineLevel="0" collapsed="false">
      <c r="A2" s="2" t="s">
        <v>45</v>
      </c>
      <c r="B2" s="2"/>
      <c r="C2" s="2"/>
      <c r="D2" s="2"/>
    </row>
    <row r="3" customFormat="false" ht="18" hidden="false" customHeight="true" outlineLevel="0" collapsed="false">
      <c r="A3" s="16" t="s">
        <v>46</v>
      </c>
      <c r="B3" s="17" t="s">
        <v>47</v>
      </c>
      <c r="C3" s="17" t="s">
        <v>48</v>
      </c>
      <c r="D3" s="17" t="s">
        <v>49</v>
      </c>
    </row>
    <row r="4" customFormat="false" ht="14.9" hidden="false" customHeight="false" outlineLevel="0" collapsed="false">
      <c r="A4" s="18" t="s">
        <v>50</v>
      </c>
      <c r="B4" s="18"/>
      <c r="C4" s="18"/>
      <c r="D4" s="18"/>
    </row>
    <row r="5" customFormat="false" ht="27.75" hidden="false" customHeight="true" outlineLevel="0" collapsed="false">
      <c r="A5" s="7" t="s">
        <v>51</v>
      </c>
      <c r="B5" s="19" t="n">
        <v>1.6997</v>
      </c>
      <c r="C5" s="20" t="s">
        <v>52</v>
      </c>
      <c r="D5" s="21" t="s">
        <v>53</v>
      </c>
    </row>
    <row r="6" customFormat="false" ht="27.75" hidden="false" customHeight="true" outlineLevel="0" collapsed="false">
      <c r="A6" s="7" t="s">
        <v>54</v>
      </c>
      <c r="B6" s="22" t="n">
        <v>0.0846</v>
      </c>
      <c r="C6" s="20" t="s">
        <v>55</v>
      </c>
      <c r="D6" s="21" t="s">
        <v>56</v>
      </c>
    </row>
    <row r="7" customFormat="false" ht="27.75" hidden="false" customHeight="true" outlineLevel="0" collapsed="false">
      <c r="A7" s="7" t="s">
        <v>57</v>
      </c>
      <c r="B7" s="23" t="n">
        <v>0.0378</v>
      </c>
      <c r="C7" s="20" t="s">
        <v>55</v>
      </c>
      <c r="D7" s="21" t="s">
        <v>58</v>
      </c>
    </row>
    <row r="8" customFormat="false" ht="27.75" hidden="false" customHeight="true" outlineLevel="0" collapsed="false">
      <c r="A8" s="7" t="s">
        <v>59</v>
      </c>
      <c r="B8" s="24" t="n">
        <v>0.54</v>
      </c>
      <c r="C8" s="20" t="s">
        <v>60</v>
      </c>
      <c r="D8" s="25" t="s">
        <v>61</v>
      </c>
    </row>
    <row r="9" customFormat="false" ht="27.75" hidden="false" customHeight="true" outlineLevel="0" collapsed="false">
      <c r="A9" s="7" t="s">
        <v>62</v>
      </c>
      <c r="B9" s="22" t="n">
        <v>0.05</v>
      </c>
      <c r="C9" s="20" t="s">
        <v>55</v>
      </c>
      <c r="D9" s="21" t="s">
        <v>63</v>
      </c>
    </row>
    <row r="10" customFormat="false" ht="27.75" hidden="false" customHeight="true" outlineLevel="0" collapsed="false">
      <c r="A10" s="6" t="s">
        <v>64</v>
      </c>
      <c r="B10" s="22" t="n">
        <v>0.1</v>
      </c>
      <c r="C10" s="20" t="s">
        <v>55</v>
      </c>
      <c r="D10" s="21" t="s">
        <v>65</v>
      </c>
    </row>
    <row r="11" customFormat="false" ht="27.75" hidden="false" customHeight="true" outlineLevel="0" collapsed="false">
      <c r="A11" s="6" t="s">
        <v>66</v>
      </c>
      <c r="B11" s="24" t="n">
        <v>500</v>
      </c>
      <c r="C11" s="20" t="s">
        <v>67</v>
      </c>
      <c r="D11" s="21" t="s">
        <v>68</v>
      </c>
    </row>
    <row r="12" customFormat="false" ht="15" hidden="false" customHeight="false" outlineLevel="0" collapsed="false">
      <c r="A12" s="18" t="s">
        <v>69</v>
      </c>
      <c r="B12" s="18"/>
      <c r="C12" s="18"/>
      <c r="D12" s="18"/>
    </row>
    <row r="13" customFormat="false" ht="27.75" hidden="false" customHeight="true" outlineLevel="0" collapsed="false">
      <c r="A13" s="7" t="s">
        <v>70</v>
      </c>
      <c r="B13" s="26" t="n">
        <v>0.2</v>
      </c>
      <c r="C13" s="20" t="s">
        <v>55</v>
      </c>
      <c r="D13" s="21" t="s">
        <v>71</v>
      </c>
    </row>
    <row r="14" customFormat="false" ht="27.75" hidden="false" customHeight="true" outlineLevel="0" collapsed="false">
      <c r="A14" s="7" t="s">
        <v>72</v>
      </c>
      <c r="B14" s="26" t="n">
        <v>0.03</v>
      </c>
      <c r="C14" s="20" t="s">
        <v>55</v>
      </c>
      <c r="D14" s="21" t="s">
        <v>73</v>
      </c>
    </row>
    <row r="15" customFormat="false" ht="27.75" hidden="false" customHeight="true" outlineLevel="0" collapsed="false">
      <c r="A15" s="7" t="s">
        <v>74</v>
      </c>
      <c r="B15" s="26" t="n">
        <v>0.05</v>
      </c>
      <c r="C15" s="20" t="s">
        <v>55</v>
      </c>
      <c r="D15" s="21" t="s">
        <v>75</v>
      </c>
    </row>
    <row r="16" customFormat="false" ht="14.9" hidden="false" customHeight="false" outlineLevel="0" collapsed="false">
      <c r="A16" s="18" t="s">
        <v>76</v>
      </c>
      <c r="B16" s="18"/>
      <c r="C16" s="18"/>
      <c r="D16" s="18"/>
    </row>
    <row r="17" customFormat="false" ht="27.75" hidden="false" customHeight="true" outlineLevel="0" collapsed="false">
      <c r="A17" s="7" t="s">
        <v>77</v>
      </c>
      <c r="B17" s="27" t="n">
        <v>10</v>
      </c>
      <c r="C17" s="28" t="s">
        <v>78</v>
      </c>
      <c r="D17" s="21" t="s">
        <v>79</v>
      </c>
    </row>
    <row r="18" customFormat="false" ht="27.75" hidden="false" customHeight="true" outlineLevel="0" collapsed="false">
      <c r="A18" s="7" t="s">
        <v>80</v>
      </c>
      <c r="B18" s="29" t="n">
        <v>3.5</v>
      </c>
      <c r="C18" s="28" t="s">
        <v>81</v>
      </c>
      <c r="D18" s="21" t="s">
        <v>82</v>
      </c>
    </row>
    <row r="19" customFormat="false" ht="27.75" hidden="false" customHeight="true" outlineLevel="0" collapsed="false">
      <c r="A19" s="7" t="s">
        <v>83</v>
      </c>
      <c r="B19" s="27" t="n">
        <v>1000</v>
      </c>
      <c r="C19" s="28" t="s">
        <v>84</v>
      </c>
      <c r="D19" s="21" t="s">
        <v>85</v>
      </c>
    </row>
    <row r="20" customFormat="false" ht="27.75" hidden="false" customHeight="true" outlineLevel="0" collapsed="false">
      <c r="A20" s="7" t="s">
        <v>86</v>
      </c>
      <c r="B20" s="26" t="n">
        <v>0.08</v>
      </c>
      <c r="C20" s="20" t="s">
        <v>55</v>
      </c>
      <c r="D20" s="21" t="s">
        <v>87</v>
      </c>
    </row>
    <row r="21" customFormat="false" ht="27.75" hidden="false" customHeight="true" outlineLevel="0" collapsed="false">
      <c r="A21" s="7" t="s">
        <v>88</v>
      </c>
      <c r="B21" s="26" t="n">
        <v>0.08</v>
      </c>
      <c r="C21" s="20" t="s">
        <v>55</v>
      </c>
      <c r="D21" s="21" t="s">
        <v>89</v>
      </c>
    </row>
  </sheetData>
  <mergeCells count="5">
    <mergeCell ref="A1:D1"/>
    <mergeCell ref="A2:D2"/>
    <mergeCell ref="A4:D4"/>
    <mergeCell ref="A12:D1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21.84"/>
    <col collapsed="false" customWidth="true" hidden="false" outlineLevel="0" max="3" min="3" style="0" width="14.56"/>
    <col collapsed="false" customWidth="true" hidden="false" outlineLevel="0" max="4" min="4" style="0" width="20.01"/>
    <col collapsed="false" customWidth="true" hidden="false" outlineLevel="0" max="5" min="5" style="0" width="10.01"/>
    <col collapsed="false" customWidth="true" hidden="false" outlineLevel="0" max="6" min="6" style="0" width="7.28"/>
    <col collapsed="false" customWidth="true" hidden="false" outlineLevel="0" max="7" min="7" style="0" width="11.83"/>
    <col collapsed="false" customWidth="true" hidden="false" outlineLevel="0" max="8" min="8" style="0" width="10.01"/>
    <col collapsed="false" customWidth="true" hidden="false" outlineLevel="0" max="10" min="9" style="0" width="11.83"/>
    <col collapsed="false" customWidth="true" hidden="false" outlineLevel="0" max="11" min="11" style="0" width="10.01"/>
    <col collapsed="false" customWidth="true" hidden="false" outlineLevel="0" max="12" min="12" style="0" width="10.92"/>
    <col collapsed="false" customWidth="true" hidden="false" outlineLevel="0" max="13" min="13" style="0" width="27.3"/>
  </cols>
  <sheetData>
    <row r="1" customFormat="false" ht="25.5" hidden="false" customHeight="true" outlineLevel="0" collapsed="false">
      <c r="A1" s="30" t="s">
        <v>90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customFormat="false" ht="30" hidden="false" customHeight="tru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1" t="s">
        <v>92</v>
      </c>
      <c r="B3" s="31" t="s">
        <v>93</v>
      </c>
      <c r="C3" s="31" t="s">
        <v>94</v>
      </c>
      <c r="D3" s="31" t="s">
        <v>95</v>
      </c>
      <c r="E3" s="31" t="s">
        <v>96</v>
      </c>
      <c r="F3" s="31" t="s">
        <v>97</v>
      </c>
      <c r="G3" s="31" t="s">
        <v>98</v>
      </c>
      <c r="H3" s="31" t="s">
        <v>99</v>
      </c>
      <c r="I3" s="31" t="s">
        <v>100</v>
      </c>
      <c r="J3" s="32" t="s">
        <v>101</v>
      </c>
      <c r="K3" s="31" t="s">
        <v>102</v>
      </c>
      <c r="L3" s="31" t="s">
        <v>103</v>
      </c>
      <c r="M3" s="31" t="s">
        <v>104</v>
      </c>
    </row>
    <row r="4" customFormat="false" ht="28.35" hidden="false" customHeight="false" outlineLevel="0" collapsed="false">
      <c r="A4" s="33" t="s">
        <v>105</v>
      </c>
      <c r="B4" s="34" t="s">
        <v>106</v>
      </c>
      <c r="C4" s="34" t="s">
        <v>107</v>
      </c>
      <c r="D4" s="35" t="s">
        <v>108</v>
      </c>
      <c r="E4" s="36" t="n">
        <v>7.5</v>
      </c>
      <c r="F4" s="37" t="n">
        <v>60</v>
      </c>
      <c r="G4" s="35" t="s">
        <v>109</v>
      </c>
      <c r="H4" s="38" t="s">
        <v>110</v>
      </c>
      <c r="I4" s="38" t="s">
        <v>111</v>
      </c>
      <c r="J4" s="38" t="s">
        <v>112</v>
      </c>
      <c r="K4" s="38" t="s">
        <v>113</v>
      </c>
      <c r="L4" s="39"/>
      <c r="M4" s="34" t="s">
        <v>114</v>
      </c>
    </row>
    <row r="5" customFormat="false" ht="28.35" hidden="false" customHeight="false" outlineLevel="0" collapsed="false">
      <c r="A5" s="33" t="s">
        <v>115</v>
      </c>
      <c r="B5" s="34" t="s">
        <v>116</v>
      </c>
      <c r="C5" s="34" t="s">
        <v>117</v>
      </c>
      <c r="D5" s="35" t="s">
        <v>108</v>
      </c>
      <c r="E5" s="36" t="n">
        <v>12</v>
      </c>
      <c r="F5" s="37" t="n">
        <v>150</v>
      </c>
      <c r="G5" s="35" t="s">
        <v>118</v>
      </c>
      <c r="H5" s="40" t="s">
        <v>119</v>
      </c>
      <c r="I5" s="38" t="s">
        <v>111</v>
      </c>
      <c r="J5" s="38" t="s">
        <v>120</v>
      </c>
      <c r="K5" s="38" t="s">
        <v>113</v>
      </c>
      <c r="L5" s="39"/>
      <c r="M5" s="34" t="s">
        <v>121</v>
      </c>
    </row>
    <row r="6" customFormat="false" ht="28.35" hidden="false" customHeight="false" outlineLevel="0" collapsed="false">
      <c r="A6" s="33" t="s">
        <v>122</v>
      </c>
      <c r="B6" s="34" t="s">
        <v>123</v>
      </c>
      <c r="C6" s="34" t="s">
        <v>124</v>
      </c>
      <c r="D6" s="35" t="s">
        <v>108</v>
      </c>
      <c r="E6" s="36" t="n">
        <v>20</v>
      </c>
      <c r="F6" s="37" t="n">
        <v>80</v>
      </c>
      <c r="G6" s="34" t="s">
        <v>125</v>
      </c>
      <c r="H6" s="40" t="s">
        <v>119</v>
      </c>
      <c r="I6" s="38" t="s">
        <v>126</v>
      </c>
      <c r="J6" s="38" t="s">
        <v>127</v>
      </c>
      <c r="K6" s="38" t="s">
        <v>113</v>
      </c>
      <c r="L6" s="39"/>
      <c r="M6" s="34" t="s">
        <v>128</v>
      </c>
    </row>
    <row r="7" customFormat="false" ht="28.35" hidden="false" customHeight="false" outlineLevel="0" collapsed="false">
      <c r="A7" s="33" t="s">
        <v>129</v>
      </c>
      <c r="B7" s="34" t="s">
        <v>130</v>
      </c>
      <c r="C7" s="34" t="s">
        <v>131</v>
      </c>
      <c r="D7" s="35" t="s">
        <v>108</v>
      </c>
      <c r="E7" s="36" t="n">
        <v>10</v>
      </c>
      <c r="F7" s="37" t="n">
        <v>100</v>
      </c>
      <c r="G7" s="35" t="s">
        <v>132</v>
      </c>
      <c r="H7" s="38" t="s">
        <v>110</v>
      </c>
      <c r="I7" s="38" t="s">
        <v>133</v>
      </c>
      <c r="J7" s="38" t="s">
        <v>112</v>
      </c>
      <c r="K7" s="38" t="s">
        <v>113</v>
      </c>
      <c r="L7" s="39"/>
      <c r="M7" s="34" t="s">
        <v>134</v>
      </c>
    </row>
    <row r="8" customFormat="false" ht="15" hidden="false" customHeight="false" outlineLevel="0" collapsed="false">
      <c r="A8" s="41"/>
      <c r="B8" s="41"/>
      <c r="C8" s="41"/>
      <c r="D8" s="41"/>
      <c r="E8" s="42"/>
      <c r="F8" s="43"/>
      <c r="G8" s="41"/>
      <c r="H8" s="44"/>
      <c r="I8" s="44"/>
      <c r="J8" s="44"/>
      <c r="K8" s="44"/>
      <c r="L8" s="45"/>
      <c r="M8" s="41"/>
    </row>
    <row r="9" customFormat="false" ht="15" hidden="false" customHeight="false" outlineLevel="0" collapsed="false">
      <c r="A9" s="41"/>
      <c r="B9" s="41"/>
      <c r="C9" s="41"/>
      <c r="D9" s="41"/>
      <c r="E9" s="42"/>
      <c r="F9" s="43"/>
      <c r="G9" s="41"/>
      <c r="H9" s="44"/>
      <c r="I9" s="44"/>
      <c r="J9" s="44"/>
      <c r="K9" s="44"/>
      <c r="L9" s="45"/>
      <c r="M9" s="41"/>
    </row>
    <row r="10" customFormat="false" ht="15" hidden="false" customHeight="false" outlineLevel="0" collapsed="false">
      <c r="A10" s="41"/>
      <c r="B10" s="41"/>
      <c r="C10" s="41"/>
      <c r="D10" s="41"/>
      <c r="E10" s="42"/>
      <c r="F10" s="43"/>
      <c r="G10" s="41"/>
      <c r="H10" s="44"/>
      <c r="I10" s="44"/>
      <c r="J10" s="44"/>
      <c r="K10" s="44"/>
      <c r="L10" s="45"/>
      <c r="M10" s="41"/>
    </row>
    <row r="11" customFormat="false" ht="15" hidden="false" customHeight="false" outlineLevel="0" collapsed="false">
      <c r="A11" s="41"/>
      <c r="B11" s="41"/>
      <c r="C11" s="41"/>
      <c r="D11" s="41"/>
      <c r="E11" s="42"/>
      <c r="F11" s="43"/>
      <c r="G11" s="41"/>
      <c r="H11" s="44"/>
      <c r="I11" s="44"/>
      <c r="J11" s="44"/>
      <c r="K11" s="44"/>
      <c r="L11" s="45"/>
      <c r="M11" s="41"/>
    </row>
    <row r="12" customFormat="false" ht="15" hidden="false" customHeight="false" outlineLevel="0" collapsed="false">
      <c r="A12" s="41"/>
      <c r="B12" s="41"/>
      <c r="C12" s="41"/>
      <c r="D12" s="41"/>
      <c r="E12" s="42"/>
      <c r="F12" s="43"/>
      <c r="G12" s="41"/>
      <c r="H12" s="44"/>
      <c r="I12" s="44"/>
      <c r="J12" s="44"/>
      <c r="K12" s="44"/>
      <c r="L12" s="45"/>
      <c r="M12" s="41"/>
    </row>
    <row r="13" customFormat="false" ht="15" hidden="false" customHeight="false" outlineLevel="0" collapsed="false">
      <c r="A13" s="41"/>
      <c r="B13" s="41"/>
      <c r="C13" s="41"/>
      <c r="D13" s="41"/>
      <c r="E13" s="42"/>
      <c r="F13" s="43"/>
      <c r="G13" s="41"/>
      <c r="H13" s="44"/>
      <c r="I13" s="44"/>
      <c r="J13" s="44"/>
      <c r="K13" s="44"/>
      <c r="L13" s="45"/>
      <c r="M13" s="41"/>
    </row>
    <row r="14" customFormat="false" ht="15" hidden="false" customHeight="false" outlineLevel="0" collapsed="false">
      <c r="A14" s="41"/>
      <c r="B14" s="41"/>
      <c r="C14" s="41"/>
      <c r="D14" s="41"/>
      <c r="E14" s="42"/>
      <c r="F14" s="43"/>
      <c r="G14" s="41"/>
      <c r="H14" s="44"/>
      <c r="I14" s="44"/>
      <c r="J14" s="44"/>
      <c r="K14" s="44"/>
      <c r="L14" s="45"/>
      <c r="M14" s="41"/>
    </row>
    <row r="15" customFormat="false" ht="15" hidden="false" customHeight="false" outlineLevel="0" collapsed="false">
      <c r="A15" s="41"/>
      <c r="B15" s="41"/>
      <c r="C15" s="41"/>
      <c r="D15" s="41"/>
      <c r="E15" s="42"/>
      <c r="F15" s="43"/>
      <c r="G15" s="41"/>
      <c r="H15" s="44"/>
      <c r="I15" s="44"/>
      <c r="J15" s="44"/>
      <c r="K15" s="44"/>
      <c r="L15" s="45"/>
      <c r="M15" s="41"/>
    </row>
    <row r="16" customFormat="false" ht="15" hidden="false" customHeight="false" outlineLevel="0" collapsed="false">
      <c r="A16" s="41"/>
      <c r="B16" s="41"/>
      <c r="C16" s="41"/>
      <c r="D16" s="41"/>
      <c r="E16" s="42"/>
      <c r="F16" s="43"/>
      <c r="G16" s="41"/>
      <c r="H16" s="44"/>
      <c r="I16" s="44"/>
      <c r="J16" s="44"/>
      <c r="K16" s="44"/>
      <c r="L16" s="45"/>
      <c r="M16" s="41"/>
    </row>
    <row r="17" customFormat="false" ht="15" hidden="false" customHeight="false" outlineLevel="0" collapsed="false">
      <c r="A17" s="41"/>
      <c r="B17" s="41"/>
      <c r="C17" s="41"/>
      <c r="D17" s="41"/>
      <c r="E17" s="42"/>
      <c r="F17" s="43"/>
      <c r="G17" s="41"/>
      <c r="H17" s="44"/>
      <c r="I17" s="44"/>
      <c r="J17" s="44"/>
      <c r="K17" s="44"/>
      <c r="L17" s="45"/>
      <c r="M17" s="41"/>
    </row>
    <row r="18" customFormat="false" ht="15" hidden="false" customHeight="false" outlineLevel="0" collapsed="false">
      <c r="A18" s="41"/>
      <c r="B18" s="41"/>
      <c r="C18" s="41"/>
      <c r="D18" s="41"/>
      <c r="E18" s="42"/>
      <c r="F18" s="43"/>
      <c r="G18" s="41"/>
      <c r="H18" s="44"/>
      <c r="I18" s="44"/>
      <c r="J18" s="44"/>
      <c r="K18" s="44"/>
      <c r="L18" s="45"/>
      <c r="M18" s="41"/>
    </row>
    <row r="19" customFormat="false" ht="15" hidden="false" customHeight="false" outlineLevel="0" collapsed="false">
      <c r="A19" s="41"/>
      <c r="B19" s="41"/>
      <c r="C19" s="41"/>
      <c r="D19" s="41"/>
      <c r="E19" s="42"/>
      <c r="F19" s="43"/>
      <c r="G19" s="41"/>
      <c r="H19" s="44"/>
      <c r="I19" s="44"/>
      <c r="J19" s="44"/>
      <c r="K19" s="44"/>
      <c r="L19" s="45"/>
      <c r="M19" s="41"/>
    </row>
    <row r="20" customFormat="false" ht="15" hidden="false" customHeight="false" outlineLevel="0" collapsed="false">
      <c r="A20" s="41"/>
      <c r="B20" s="41"/>
      <c r="C20" s="41"/>
      <c r="D20" s="41"/>
      <c r="E20" s="42"/>
      <c r="F20" s="43"/>
      <c r="G20" s="41"/>
      <c r="H20" s="44"/>
      <c r="I20" s="44"/>
      <c r="J20" s="44"/>
      <c r="K20" s="44"/>
      <c r="L20" s="45"/>
      <c r="M20" s="41"/>
    </row>
    <row r="21" customFormat="false" ht="15" hidden="false" customHeight="false" outlineLevel="0" collapsed="false">
      <c r="A21" s="41"/>
      <c r="B21" s="41"/>
      <c r="C21" s="41"/>
      <c r="D21" s="41"/>
      <c r="E21" s="42"/>
      <c r="F21" s="43"/>
      <c r="G21" s="41"/>
      <c r="H21" s="44"/>
      <c r="I21" s="44"/>
      <c r="J21" s="44"/>
      <c r="K21" s="44"/>
      <c r="L21" s="45"/>
      <c r="M21" s="41"/>
    </row>
    <row r="22" customFormat="false" ht="15" hidden="false" customHeight="false" outlineLevel="0" collapsed="false">
      <c r="A22" s="41"/>
      <c r="B22" s="41"/>
      <c r="C22" s="41"/>
      <c r="D22" s="41"/>
      <c r="E22" s="42"/>
      <c r="F22" s="43"/>
      <c r="G22" s="41"/>
      <c r="H22" s="44"/>
      <c r="I22" s="44"/>
      <c r="J22" s="44"/>
      <c r="K22" s="44"/>
      <c r="L22" s="45"/>
      <c r="M22" s="41"/>
    </row>
    <row r="23" customFormat="false" ht="15" hidden="false" customHeight="false" outlineLevel="0" collapsed="false">
      <c r="A23" s="41"/>
      <c r="B23" s="41"/>
      <c r="C23" s="41"/>
      <c r="D23" s="41"/>
      <c r="E23" s="42"/>
      <c r="F23" s="43"/>
      <c r="G23" s="41"/>
      <c r="H23" s="44"/>
      <c r="I23" s="44"/>
      <c r="J23" s="44"/>
      <c r="K23" s="44"/>
      <c r="L23" s="45"/>
      <c r="M23" s="41"/>
    </row>
    <row r="24" customFormat="false" ht="15" hidden="false" customHeight="false" outlineLevel="0" collapsed="false">
      <c r="A24" s="41"/>
      <c r="B24" s="41"/>
      <c r="C24" s="41"/>
      <c r="D24" s="41"/>
      <c r="E24" s="42"/>
      <c r="F24" s="43"/>
      <c r="G24" s="41"/>
      <c r="H24" s="44"/>
      <c r="I24" s="44"/>
      <c r="J24" s="44"/>
      <c r="K24" s="44"/>
      <c r="L24" s="45"/>
      <c r="M24" s="41"/>
    </row>
    <row r="25" customFormat="false" ht="15" hidden="false" customHeight="false" outlineLevel="0" collapsed="false">
      <c r="A25" s="41"/>
      <c r="B25" s="41"/>
      <c r="C25" s="41"/>
      <c r="D25" s="41"/>
      <c r="E25" s="42"/>
      <c r="F25" s="43"/>
      <c r="G25" s="41"/>
      <c r="H25" s="44"/>
      <c r="I25" s="44"/>
      <c r="J25" s="44"/>
      <c r="K25" s="44"/>
      <c r="L25" s="45"/>
      <c r="M25" s="41"/>
    </row>
    <row r="26" customFormat="false" ht="15" hidden="false" customHeight="false" outlineLevel="0" collapsed="false">
      <c r="A26" s="41"/>
      <c r="B26" s="41"/>
      <c r="C26" s="41"/>
      <c r="D26" s="41"/>
      <c r="E26" s="42"/>
      <c r="F26" s="43"/>
      <c r="G26" s="41"/>
      <c r="H26" s="44"/>
      <c r="I26" s="44"/>
      <c r="J26" s="44"/>
      <c r="K26" s="44"/>
      <c r="L26" s="45"/>
      <c r="M26" s="41"/>
    </row>
    <row r="27" customFormat="false" ht="15" hidden="false" customHeight="false" outlineLevel="0" collapsed="false">
      <c r="A27" s="41"/>
      <c r="B27" s="41"/>
      <c r="C27" s="41"/>
      <c r="D27" s="41"/>
      <c r="E27" s="42"/>
      <c r="F27" s="43"/>
      <c r="G27" s="41"/>
      <c r="H27" s="44"/>
      <c r="I27" s="44"/>
      <c r="J27" s="44"/>
      <c r="K27" s="44"/>
      <c r="L27" s="45"/>
      <c r="M27" s="41"/>
    </row>
    <row r="28" customFormat="false" ht="15" hidden="false" customHeight="false" outlineLevel="0" collapsed="false">
      <c r="A28" s="41"/>
      <c r="B28" s="41"/>
      <c r="C28" s="41"/>
      <c r="D28" s="41"/>
      <c r="E28" s="42"/>
      <c r="F28" s="43"/>
      <c r="G28" s="41"/>
      <c r="H28" s="44"/>
      <c r="I28" s="44"/>
      <c r="J28" s="44"/>
      <c r="K28" s="44"/>
      <c r="L28" s="45"/>
      <c r="M28" s="41"/>
    </row>
    <row r="29" customFormat="false" ht="15" hidden="false" customHeight="false" outlineLevel="0" collapsed="false">
      <c r="A29" s="41"/>
      <c r="B29" s="41"/>
      <c r="C29" s="41"/>
      <c r="D29" s="41"/>
      <c r="E29" s="42"/>
      <c r="F29" s="43"/>
      <c r="G29" s="41"/>
      <c r="H29" s="44"/>
      <c r="I29" s="44"/>
      <c r="J29" s="44"/>
      <c r="K29" s="44"/>
      <c r="L29" s="45"/>
      <c r="M29" s="41"/>
    </row>
    <row r="30" customFormat="false" ht="15" hidden="false" customHeight="false" outlineLevel="0" collapsed="false">
      <c r="A30" s="41"/>
      <c r="B30" s="41"/>
      <c r="C30" s="41"/>
      <c r="D30" s="41"/>
      <c r="E30" s="42"/>
      <c r="F30" s="43"/>
      <c r="G30" s="41"/>
      <c r="H30" s="44"/>
      <c r="I30" s="44"/>
      <c r="J30" s="44"/>
      <c r="K30" s="44"/>
      <c r="L30" s="45"/>
      <c r="M30" s="41"/>
    </row>
    <row r="31" customFormat="false" ht="15" hidden="false" customHeight="false" outlineLevel="0" collapsed="false">
      <c r="A31" s="41"/>
      <c r="B31" s="41"/>
      <c r="C31" s="41"/>
      <c r="D31" s="41"/>
      <c r="E31" s="42"/>
      <c r="F31" s="43"/>
      <c r="G31" s="41"/>
      <c r="H31" s="44"/>
      <c r="I31" s="44"/>
      <c r="J31" s="44"/>
      <c r="K31" s="44"/>
      <c r="L31" s="45"/>
      <c r="M31" s="41"/>
    </row>
    <row r="32" customFormat="false" ht="15" hidden="false" customHeight="false" outlineLevel="0" collapsed="false">
      <c r="A32" s="41"/>
      <c r="B32" s="41"/>
      <c r="C32" s="41"/>
      <c r="D32" s="41"/>
      <c r="E32" s="42"/>
      <c r="F32" s="43"/>
      <c r="G32" s="41"/>
      <c r="H32" s="44"/>
      <c r="I32" s="44"/>
      <c r="J32" s="44"/>
      <c r="K32" s="44"/>
      <c r="L32" s="45"/>
      <c r="M32" s="41"/>
    </row>
    <row r="33" customFormat="false" ht="15" hidden="false" customHeight="false" outlineLevel="0" collapsed="false">
      <c r="A33" s="41"/>
      <c r="B33" s="41"/>
      <c r="C33" s="41"/>
      <c r="D33" s="41"/>
      <c r="E33" s="42"/>
      <c r="F33" s="43"/>
      <c r="G33" s="41"/>
      <c r="H33" s="44"/>
      <c r="I33" s="44"/>
      <c r="J33" s="44"/>
      <c r="K33" s="44"/>
      <c r="L33" s="45"/>
      <c r="M33" s="41"/>
    </row>
  </sheetData>
  <mergeCells count="2">
    <mergeCell ref="A1:M1"/>
    <mergeCell ref="A2:M2"/>
  </mergeCells>
  <conditionalFormatting sqref="I4:I33">
    <cfRule type="cellIs" priority="2" operator="equal" aboveAverage="0" equalAverage="0" bottom="0" percent="0" rank="0" text="" dxfId="0">
      <formula>"禁售"</formula>
    </cfRule>
    <cfRule type="cellIs" priority="3" operator="equal" aboveAverage="0" equalAverage="0" bottom="0" percent="0" rank="0" text="" dxfId="1">
      <formula>"需资质"</formula>
    </cfRule>
  </conditionalFormatting>
  <dataValidations count="4">
    <dataValidation allowBlank="true" errorStyle="stop" operator="between" showDropDown="false" showErrorMessage="false" showInputMessage="false" sqref="H4:H33" type="list">
      <formula1>"是,否,NA"</formula1>
      <formula2>0</formula2>
    </dataValidation>
    <dataValidation allowBlank="true" errorStyle="stop" operator="between" showDropDown="false" showErrorMessage="false" showInputMessage="false" sqref="I4:I33" type="list">
      <formula1>"通过,需资质,禁售"</formula1>
      <formula2>0</formula2>
    </dataValidation>
    <dataValidation allowBlank="true" errorStyle="stop" operator="between" showDropDown="false" showErrorMessage="false" showInputMessage="false" sqref="J4:J33" type="list">
      <formula1>"基础,微创新,趋势"</formula1>
      <formula2>0</formula2>
    </dataValidation>
    <dataValidation allowBlank="true" errorStyle="stop" operator="between" showDropDown="false" showErrorMessage="false" showInputMessage="false" sqref="K4:K33" type="list">
      <formula1>"候选,待上架,在售,淘汰"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20.01"/>
    <col collapsed="false" customWidth="true" hidden="false" outlineLevel="0" max="3" min="3" style="0" width="10.01"/>
    <col collapsed="false" customWidth="true" hidden="false" outlineLevel="0" max="4" min="4" style="0" width="9.1"/>
    <col collapsed="false" customWidth="true" hidden="false" outlineLevel="0" max="6" min="5" style="0" width="10.01"/>
    <col collapsed="false" customWidth="true" hidden="false" outlineLevel="0" max="7" min="7" style="0" width="11.83"/>
    <col collapsed="false" customWidth="true" hidden="false" outlineLevel="0" max="8" min="8" style="0" width="13.65"/>
    <col collapsed="false" customWidth="true" hidden="false" outlineLevel="0" max="9" min="9" style="0" width="12.74"/>
    <col collapsed="false" customWidth="true" hidden="false" outlineLevel="0" max="10" min="10" style="0" width="11.83"/>
    <col collapsed="false" customWidth="true" hidden="false" outlineLevel="0" max="12" min="11" style="0" width="13.65"/>
    <col collapsed="false" customWidth="true" hidden="false" outlineLevel="0" max="13" min="13" style="0" width="10.92"/>
    <col collapsed="false" customWidth="true" hidden="false" outlineLevel="0" max="14" min="14" style="0" width="10.01"/>
    <col collapsed="false" customWidth="true" hidden="false" outlineLevel="0" max="15" min="15" style="0" width="6.37"/>
    <col collapsed="false" customWidth="true" hidden="false" outlineLevel="0" max="16" min="16" style="0" width="18.2"/>
  </cols>
  <sheetData>
    <row r="1" customFormat="false" ht="25.5" hidden="false" customHeight="true" outlineLevel="0" collapsed="false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F3" s="46" t="s">
        <v>137</v>
      </c>
      <c r="G3" s="47" t="n">
        <v>0.2</v>
      </c>
      <c r="H3" s="47" t="n">
        <v>0.2</v>
      </c>
      <c r="I3" s="47" t="n">
        <v>0.15</v>
      </c>
      <c r="J3" s="47" t="n">
        <v>0.15</v>
      </c>
      <c r="K3" s="47" t="n">
        <v>0.1</v>
      </c>
      <c r="L3" s="47" t="n">
        <v>0.1</v>
      </c>
      <c r="M3" s="47" t="n">
        <v>0.1</v>
      </c>
      <c r="N3" s="48" t="n">
        <f aca="false">SUM(G3:M3)</f>
        <v>1</v>
      </c>
    </row>
    <row r="4" customFormat="false" ht="39.75" hidden="false" customHeight="true" outlineLevel="0" collapsed="false">
      <c r="A4" s="31" t="s">
        <v>92</v>
      </c>
      <c r="B4" s="31" t="s">
        <v>93</v>
      </c>
      <c r="C4" s="31" t="s">
        <v>138</v>
      </c>
      <c r="D4" s="32" t="s">
        <v>139</v>
      </c>
      <c r="E4" s="31" t="s">
        <v>140</v>
      </c>
      <c r="F4" s="31" t="s">
        <v>141</v>
      </c>
      <c r="G4" s="31" t="s">
        <v>142</v>
      </c>
      <c r="H4" s="31" t="s">
        <v>143</v>
      </c>
      <c r="I4" s="31" t="s">
        <v>144</v>
      </c>
      <c r="J4" s="31" t="s">
        <v>145</v>
      </c>
      <c r="K4" s="31" t="s">
        <v>146</v>
      </c>
      <c r="L4" s="31" t="s">
        <v>147</v>
      </c>
      <c r="M4" s="31" t="s">
        <v>148</v>
      </c>
      <c r="N4" s="31" t="s">
        <v>149</v>
      </c>
      <c r="O4" s="31" t="s">
        <v>150</v>
      </c>
      <c r="P4" s="31" t="s">
        <v>151</v>
      </c>
    </row>
    <row r="5" customFormat="false" ht="15" hidden="false" customHeight="false" outlineLevel="0" collapsed="false">
      <c r="A5" s="40" t="s">
        <v>105</v>
      </c>
      <c r="B5" s="49" t="str">
        <f aca="false">IFERROR(VLOOKUP($A5,SKU主表!$A:$M,2,0),"")</f>
        <v>印花头巾 Hijab Bawal Printed</v>
      </c>
      <c r="C5" s="50" t="str">
        <f aca="false">IFERROR(VLOOKUP($A5,SKU主表!$A:$M,9,0),"")</f>
        <v>通过</v>
      </c>
      <c r="D5" s="38" t="s">
        <v>152</v>
      </c>
      <c r="E5" s="38" t="s">
        <v>152</v>
      </c>
      <c r="F5" s="51" t="str">
        <f aca="false">IF($A5="","",IF(OR($C5="禁售",$C5="需资质",$D5="是",$E5="是"),"是","否"))</f>
        <v>否</v>
      </c>
      <c r="G5" s="52" t="n">
        <v>3</v>
      </c>
      <c r="H5" s="52" t="n">
        <v>5</v>
      </c>
      <c r="I5" s="52" t="n">
        <v>4</v>
      </c>
      <c r="J5" s="52" t="n">
        <v>3</v>
      </c>
      <c r="K5" s="52" t="n">
        <v>4</v>
      </c>
      <c r="L5" s="52" t="n">
        <v>5</v>
      </c>
      <c r="M5" s="52" t="n">
        <v>5</v>
      </c>
      <c r="N5" s="53" t="n">
        <f aca="false">IF($A5="","",IF($F5="是",0,SUMPRODUCT($G5:$M5,$G$3:$M$3)))</f>
        <v>4.05</v>
      </c>
      <c r="O5" s="54" t="n">
        <f aca="false">IF(OR($A5="",$N5=""),"",RANK($N5,$N$5:$N$34,0))</f>
        <v>1</v>
      </c>
      <c r="P5" s="55" t="str">
        <f aca="false">IF($A5="","",IF($F5="是","⛔淘汰(一票否决)",IF($O5&lt;=参数配置!$B$17,"⭐优先上架Top N",IF($N5&gt;=参数配置!$B$18,"观察跟进","暂缓/优化后再评"))))</f>
        <v>⭐优先上架Top N</v>
      </c>
    </row>
    <row r="6" customFormat="false" ht="15" hidden="false" customHeight="false" outlineLevel="0" collapsed="false">
      <c r="A6" s="40" t="s">
        <v>115</v>
      </c>
      <c r="B6" s="49" t="str">
        <f aca="false">IFERROR(VLOOKUP($A6,SKU主表!$A:$M,2,0),"")</f>
        <v>折叠除湿盒 Kotak Penyahlembap</v>
      </c>
      <c r="C6" s="50" t="str">
        <f aca="false">IFERROR(VLOOKUP($A6,SKU主表!$A:$M,9,0),"")</f>
        <v>通过</v>
      </c>
      <c r="D6" s="38" t="s">
        <v>152</v>
      </c>
      <c r="E6" s="38" t="s">
        <v>152</v>
      </c>
      <c r="F6" s="51" t="str">
        <f aca="false">IF($A6="","",IF(OR($C6="禁售",$C6="需资质",$D6="是",$E6="是"),"是","否"))</f>
        <v>否</v>
      </c>
      <c r="G6" s="52" t="n">
        <v>3</v>
      </c>
      <c r="H6" s="52" t="n">
        <v>4</v>
      </c>
      <c r="I6" s="52" t="n">
        <v>4</v>
      </c>
      <c r="J6" s="52" t="n">
        <v>4</v>
      </c>
      <c r="K6" s="52" t="n">
        <v>4</v>
      </c>
      <c r="L6" s="52" t="n">
        <v>4</v>
      </c>
      <c r="M6" s="52" t="n">
        <v>3</v>
      </c>
      <c r="N6" s="53" t="n">
        <f aca="false">IF($A6="","",IF($F6="是",0,SUMPRODUCT($G6:$M6,$G$3:$M$3)))</f>
        <v>3.7</v>
      </c>
      <c r="O6" s="54" t="n">
        <f aca="false">IF(OR($A6="",$N6=""),"",RANK($N6,$N$5:$N$34,0))</f>
        <v>2</v>
      </c>
      <c r="P6" s="55" t="str">
        <f aca="false">IF($A6="","",IF($F6="是","⛔淘汰(一票否决)",IF($O6&lt;=参数配置!$B$17,"⭐优先上架Top N",IF($N6&gt;=参数配置!$B$18,"观察跟进","暂缓/优化后再评"))))</f>
        <v>⭐优先上架Top N</v>
      </c>
    </row>
    <row r="7" customFormat="false" ht="15" hidden="false" customHeight="false" outlineLevel="0" collapsed="false">
      <c r="A7" s="40" t="s">
        <v>122</v>
      </c>
      <c r="B7" s="49" t="str">
        <f aca="false">IFERROR(VLOOKUP($A7,SKU主表!$A:$M,2,0),"")</f>
        <v>矫正近视框架眼镜</v>
      </c>
      <c r="C7" s="50" t="str">
        <f aca="false">IFERROR(VLOOKUP($A7,SKU主表!$A:$M,9,0),"")</f>
        <v>禁售</v>
      </c>
      <c r="D7" s="38" t="s">
        <v>152</v>
      </c>
      <c r="E7" s="38" t="s">
        <v>152</v>
      </c>
      <c r="F7" s="51" t="str">
        <f aca="false">IF($A7="","",IF(OR($C7="禁售",$C7="需资质",$D7="是",$E7="是"),"是","否"))</f>
        <v>是</v>
      </c>
      <c r="G7" s="52"/>
      <c r="H7" s="52"/>
      <c r="I7" s="52"/>
      <c r="J7" s="52"/>
      <c r="K7" s="52"/>
      <c r="L7" s="52"/>
      <c r="M7" s="52"/>
      <c r="N7" s="53" t="n">
        <f aca="false">IF($A7="","",IF($F7="是",0,SUMPRODUCT($G7:$M7,$G$3:$M$3)))</f>
        <v>0</v>
      </c>
      <c r="O7" s="54" t="n">
        <f aca="false">IF(OR($A7="",$N7=""),"",RANK($N7,$N$5:$N$34,0))</f>
        <v>3</v>
      </c>
      <c r="P7" s="55" t="str">
        <f aca="false">IF($A7="","",IF($F7="是","⛔淘汰(一票否决)",IF($O7&lt;=参数配置!$B$17,"⭐优先上架Top N",IF($N7&gt;=参数配置!$B$18,"观察跟进","暂缓/优化后再评"))))</f>
        <v>⛔淘汰(一票否决)</v>
      </c>
    </row>
    <row r="8" customFormat="false" ht="15" hidden="false" customHeight="false" outlineLevel="0" collapsed="false">
      <c r="A8" s="40" t="s">
        <v>129</v>
      </c>
      <c r="B8" s="49" t="str">
        <f aca="false">IFERROR(VLOOKUP($A8,SKU主表!$A:$M,2,0),"")</f>
        <v>儿童保湿面霜</v>
      </c>
      <c r="C8" s="50" t="str">
        <f aca="false">IFERROR(VLOOKUP($A8,SKU主表!$A:$M,9,0),"")</f>
        <v>需资质</v>
      </c>
      <c r="D8" s="38" t="s">
        <v>152</v>
      </c>
      <c r="E8" s="38" t="s">
        <v>152</v>
      </c>
      <c r="F8" s="51" t="str">
        <f aca="false">IF($A8="","",IF(OR($C8="禁售",$C8="需资质",$D8="是",$E8="是"),"是","否"))</f>
        <v>是</v>
      </c>
      <c r="G8" s="52"/>
      <c r="H8" s="52"/>
      <c r="I8" s="52"/>
      <c r="J8" s="52"/>
      <c r="K8" s="52"/>
      <c r="L8" s="52"/>
      <c r="M8" s="52"/>
      <c r="N8" s="53" t="n">
        <f aca="false">IF($A8="","",IF($F8="是",0,SUMPRODUCT($G8:$M8,$G$3:$M$3)))</f>
        <v>0</v>
      </c>
      <c r="O8" s="54" t="n">
        <f aca="false">IF(OR($A8="",$N8=""),"",RANK($N8,$N$5:$N$34,0))</f>
        <v>3</v>
      </c>
      <c r="P8" s="55" t="str">
        <f aca="false">IF($A8="","",IF($F8="是","⛔淘汰(一票否决)",IF($O8&lt;=参数配置!$B$17,"⭐优先上架Top N",IF($N8&gt;=参数配置!$B$18,"观察跟进","暂缓/优化后再评"))))</f>
        <v>⛔淘汰(一票否决)</v>
      </c>
    </row>
    <row r="9" customFormat="false" ht="15" hidden="false" customHeight="false" outlineLevel="0" collapsed="false">
      <c r="A9" s="44"/>
      <c r="B9" s="49" t="str">
        <f aca="false">IFERROR(VLOOKUP($A9,SKU主表!$A:$M,2,0),"")</f>
        <v/>
      </c>
      <c r="C9" s="50" t="str">
        <f aca="false">IFERROR(VLOOKUP($A9,SKU主表!$A:$M,9,0),"")</f>
        <v/>
      </c>
      <c r="D9" s="44"/>
      <c r="E9" s="44"/>
      <c r="F9" s="51" t="str">
        <f aca="false">IF($A9="","",IF(OR($C9="禁售",$C9="需资质",$D9="是",$E9="是"),"是","否"))</f>
        <v/>
      </c>
      <c r="G9" s="56"/>
      <c r="H9" s="56"/>
      <c r="I9" s="56"/>
      <c r="J9" s="56"/>
      <c r="K9" s="56"/>
      <c r="L9" s="56"/>
      <c r="M9" s="56"/>
      <c r="N9" s="53" t="str">
        <f aca="false">IF($A9="","",IF($F9="是",0,SUMPRODUCT($G9:$M9,$G$3:$M$3)))</f>
        <v/>
      </c>
      <c r="O9" s="54" t="str">
        <f aca="false">IF(OR($A9="",$N9=""),"",RANK($N9,$N$5:$N$34,0))</f>
        <v/>
      </c>
      <c r="P9" s="55" t="str">
        <f aca="false">IF($A9="","",IF($F9="是","⛔淘汰(一票否决)",IF($O9&lt;=参数配置!$B$17,"⭐优先上架Top N",IF($N9&gt;=参数配置!$B$18,"观察跟进","暂缓/优化后再评"))))</f>
        <v/>
      </c>
    </row>
    <row r="10" customFormat="false" ht="15" hidden="false" customHeight="false" outlineLevel="0" collapsed="false">
      <c r="A10" s="44"/>
      <c r="B10" s="49" t="str">
        <f aca="false">IFERROR(VLOOKUP($A10,SKU主表!$A:$M,2,0),"")</f>
        <v/>
      </c>
      <c r="C10" s="50" t="str">
        <f aca="false">IFERROR(VLOOKUP($A10,SKU主表!$A:$M,9,0),"")</f>
        <v/>
      </c>
      <c r="D10" s="44"/>
      <c r="E10" s="44"/>
      <c r="F10" s="51" t="str">
        <f aca="false">IF($A10="","",IF(OR($C10="禁售",$C10="需资质",$D10="是",$E10="是"),"是","否"))</f>
        <v/>
      </c>
      <c r="G10" s="56"/>
      <c r="H10" s="56"/>
      <c r="I10" s="56"/>
      <c r="J10" s="56"/>
      <c r="K10" s="56"/>
      <c r="L10" s="56"/>
      <c r="M10" s="56"/>
      <c r="N10" s="53" t="str">
        <f aca="false">IF($A10="","",IF($F10="是",0,SUMPRODUCT($G10:$M10,$G$3:$M$3)))</f>
        <v/>
      </c>
      <c r="O10" s="54" t="str">
        <f aca="false">IF(OR($A10="",$N10=""),"",RANK($N10,$N$5:$N$34,0))</f>
        <v/>
      </c>
      <c r="P10" s="55" t="str">
        <f aca="false">IF($A10="","",IF($F10="是","⛔淘汰(一票否决)",IF($O10&lt;=参数配置!$B$17,"⭐优先上架Top N",IF($N10&gt;=参数配置!$B$18,"观察跟进","暂缓/优化后再评"))))</f>
        <v/>
      </c>
    </row>
    <row r="11" customFormat="false" ht="15" hidden="false" customHeight="false" outlineLevel="0" collapsed="false">
      <c r="A11" s="44"/>
      <c r="B11" s="49" t="str">
        <f aca="false">IFERROR(VLOOKUP($A11,SKU主表!$A:$M,2,0),"")</f>
        <v/>
      </c>
      <c r="C11" s="50" t="str">
        <f aca="false">IFERROR(VLOOKUP($A11,SKU主表!$A:$M,9,0),"")</f>
        <v/>
      </c>
      <c r="D11" s="44"/>
      <c r="E11" s="44"/>
      <c r="F11" s="51" t="str">
        <f aca="false">IF($A11="","",IF(OR($C11="禁售",$C11="需资质",$D11="是",$E11="是"),"是","否"))</f>
        <v/>
      </c>
      <c r="G11" s="56"/>
      <c r="H11" s="56"/>
      <c r="I11" s="56"/>
      <c r="J11" s="56"/>
      <c r="K11" s="56"/>
      <c r="L11" s="56"/>
      <c r="M11" s="56"/>
      <c r="N11" s="53" t="str">
        <f aca="false">IF($A11="","",IF($F11="是",0,SUMPRODUCT($G11:$M11,$G$3:$M$3)))</f>
        <v/>
      </c>
      <c r="O11" s="54" t="str">
        <f aca="false">IF(OR($A11="",$N11=""),"",RANK($N11,$N$5:$N$34,0))</f>
        <v/>
      </c>
      <c r="P11" s="55" t="str">
        <f aca="false">IF($A11="","",IF($F11="是","⛔淘汰(一票否决)",IF($O11&lt;=参数配置!$B$17,"⭐优先上架Top N",IF($N11&gt;=参数配置!$B$18,"观察跟进","暂缓/优化后再评"))))</f>
        <v/>
      </c>
    </row>
    <row r="12" customFormat="false" ht="15" hidden="false" customHeight="false" outlineLevel="0" collapsed="false">
      <c r="A12" s="44"/>
      <c r="B12" s="49" t="str">
        <f aca="false">IFERROR(VLOOKUP($A12,SKU主表!$A:$M,2,0),"")</f>
        <v/>
      </c>
      <c r="C12" s="50" t="str">
        <f aca="false">IFERROR(VLOOKUP($A12,SKU主表!$A:$M,9,0),"")</f>
        <v/>
      </c>
      <c r="D12" s="44"/>
      <c r="E12" s="44"/>
      <c r="F12" s="51" t="str">
        <f aca="false">IF($A12="","",IF(OR($C12="禁售",$C12="需资质",$D12="是",$E12="是"),"是","否"))</f>
        <v/>
      </c>
      <c r="G12" s="56"/>
      <c r="H12" s="56"/>
      <c r="I12" s="56"/>
      <c r="J12" s="56"/>
      <c r="K12" s="56"/>
      <c r="L12" s="56"/>
      <c r="M12" s="56"/>
      <c r="N12" s="53" t="str">
        <f aca="false">IF($A12="","",IF($F12="是",0,SUMPRODUCT($G12:$M12,$G$3:$M$3)))</f>
        <v/>
      </c>
      <c r="O12" s="54" t="str">
        <f aca="false">IF(OR($A12="",$N12=""),"",RANK($N12,$N$5:$N$34,0))</f>
        <v/>
      </c>
      <c r="P12" s="55" t="str">
        <f aca="false">IF($A12="","",IF($F12="是","⛔淘汰(一票否决)",IF($O12&lt;=参数配置!$B$17,"⭐优先上架Top N",IF($N12&gt;=参数配置!$B$18,"观察跟进","暂缓/优化后再评"))))</f>
        <v/>
      </c>
    </row>
    <row r="13" customFormat="false" ht="15" hidden="false" customHeight="false" outlineLevel="0" collapsed="false">
      <c r="A13" s="44"/>
      <c r="B13" s="49" t="str">
        <f aca="false">IFERROR(VLOOKUP($A13,SKU主表!$A:$M,2,0),"")</f>
        <v/>
      </c>
      <c r="C13" s="50" t="str">
        <f aca="false">IFERROR(VLOOKUP($A13,SKU主表!$A:$M,9,0),"")</f>
        <v/>
      </c>
      <c r="D13" s="44"/>
      <c r="E13" s="44"/>
      <c r="F13" s="51" t="str">
        <f aca="false">IF($A13="","",IF(OR($C13="禁售",$C13="需资质",$D13="是",$E13="是"),"是","否"))</f>
        <v/>
      </c>
      <c r="G13" s="56"/>
      <c r="H13" s="56"/>
      <c r="I13" s="56"/>
      <c r="J13" s="56"/>
      <c r="K13" s="56"/>
      <c r="L13" s="56"/>
      <c r="M13" s="56"/>
      <c r="N13" s="53" t="str">
        <f aca="false">IF($A13="","",IF($F13="是",0,SUMPRODUCT($G13:$M13,$G$3:$M$3)))</f>
        <v/>
      </c>
      <c r="O13" s="54" t="str">
        <f aca="false">IF(OR($A13="",$N13=""),"",RANK($N13,$N$5:$N$34,0))</f>
        <v/>
      </c>
      <c r="P13" s="55" t="str">
        <f aca="false">IF($A13="","",IF($F13="是","⛔淘汰(一票否决)",IF($O13&lt;=参数配置!$B$17,"⭐优先上架Top N",IF($N13&gt;=参数配置!$B$18,"观察跟进","暂缓/优化后再评"))))</f>
        <v/>
      </c>
    </row>
    <row r="14" customFormat="false" ht="15" hidden="false" customHeight="false" outlineLevel="0" collapsed="false">
      <c r="A14" s="44"/>
      <c r="B14" s="49" t="str">
        <f aca="false">IFERROR(VLOOKUP($A14,SKU主表!$A:$M,2,0),"")</f>
        <v/>
      </c>
      <c r="C14" s="50" t="str">
        <f aca="false">IFERROR(VLOOKUP($A14,SKU主表!$A:$M,9,0),"")</f>
        <v/>
      </c>
      <c r="D14" s="44"/>
      <c r="E14" s="44"/>
      <c r="F14" s="51" t="str">
        <f aca="false">IF($A14="","",IF(OR($C14="禁售",$C14="需资质",$D14="是",$E14="是"),"是","否"))</f>
        <v/>
      </c>
      <c r="G14" s="56"/>
      <c r="H14" s="56"/>
      <c r="I14" s="56"/>
      <c r="J14" s="56"/>
      <c r="K14" s="56"/>
      <c r="L14" s="56"/>
      <c r="M14" s="56"/>
      <c r="N14" s="53" t="str">
        <f aca="false">IF($A14="","",IF($F14="是",0,SUMPRODUCT($G14:$M14,$G$3:$M$3)))</f>
        <v/>
      </c>
      <c r="O14" s="54" t="str">
        <f aca="false">IF(OR($A14="",$N14=""),"",RANK($N14,$N$5:$N$34,0))</f>
        <v/>
      </c>
      <c r="P14" s="55" t="str">
        <f aca="false">IF($A14="","",IF($F14="是","⛔淘汰(一票否决)",IF($O14&lt;=参数配置!$B$17,"⭐优先上架Top N",IF($N14&gt;=参数配置!$B$18,"观察跟进","暂缓/优化后再评"))))</f>
        <v/>
      </c>
    </row>
    <row r="15" customFormat="false" ht="15" hidden="false" customHeight="false" outlineLevel="0" collapsed="false">
      <c r="A15" s="44"/>
      <c r="B15" s="49" t="str">
        <f aca="false">IFERROR(VLOOKUP($A15,SKU主表!$A:$M,2,0),"")</f>
        <v/>
      </c>
      <c r="C15" s="50" t="str">
        <f aca="false">IFERROR(VLOOKUP($A15,SKU主表!$A:$M,9,0),"")</f>
        <v/>
      </c>
      <c r="D15" s="44"/>
      <c r="E15" s="44"/>
      <c r="F15" s="51" t="str">
        <f aca="false">IF($A15="","",IF(OR($C15="禁售",$C15="需资质",$D15="是",$E15="是"),"是","否"))</f>
        <v/>
      </c>
      <c r="G15" s="56"/>
      <c r="H15" s="56"/>
      <c r="I15" s="56"/>
      <c r="J15" s="56"/>
      <c r="K15" s="56"/>
      <c r="L15" s="56"/>
      <c r="M15" s="56"/>
      <c r="N15" s="53" t="str">
        <f aca="false">IF($A15="","",IF($F15="是",0,SUMPRODUCT($G15:$M15,$G$3:$M$3)))</f>
        <v/>
      </c>
      <c r="O15" s="54" t="str">
        <f aca="false">IF(OR($A15="",$N15=""),"",RANK($N15,$N$5:$N$34,0))</f>
        <v/>
      </c>
      <c r="P15" s="55" t="str">
        <f aca="false">IF($A15="","",IF($F15="是","⛔淘汰(一票否决)",IF($O15&lt;=参数配置!$B$17,"⭐优先上架Top N",IF($N15&gt;=参数配置!$B$18,"观察跟进","暂缓/优化后再评"))))</f>
        <v/>
      </c>
    </row>
    <row r="16" customFormat="false" ht="15" hidden="false" customHeight="false" outlineLevel="0" collapsed="false">
      <c r="A16" s="44"/>
      <c r="B16" s="49" t="str">
        <f aca="false">IFERROR(VLOOKUP($A16,SKU主表!$A:$M,2,0),"")</f>
        <v/>
      </c>
      <c r="C16" s="50" t="str">
        <f aca="false">IFERROR(VLOOKUP($A16,SKU主表!$A:$M,9,0),"")</f>
        <v/>
      </c>
      <c r="D16" s="44"/>
      <c r="E16" s="44"/>
      <c r="F16" s="51" t="str">
        <f aca="false">IF($A16="","",IF(OR($C16="禁售",$C16="需资质",$D16="是",$E16="是"),"是","否"))</f>
        <v/>
      </c>
      <c r="G16" s="56"/>
      <c r="H16" s="56"/>
      <c r="I16" s="56"/>
      <c r="J16" s="56"/>
      <c r="K16" s="56"/>
      <c r="L16" s="56"/>
      <c r="M16" s="56"/>
      <c r="N16" s="53" t="str">
        <f aca="false">IF($A16="","",IF($F16="是",0,SUMPRODUCT($G16:$M16,$G$3:$M$3)))</f>
        <v/>
      </c>
      <c r="O16" s="54" t="str">
        <f aca="false">IF(OR($A16="",$N16=""),"",RANK($N16,$N$5:$N$34,0))</f>
        <v/>
      </c>
      <c r="P16" s="55" t="str">
        <f aca="false">IF($A16="","",IF($F16="是","⛔淘汰(一票否决)",IF($O16&lt;=参数配置!$B$17,"⭐优先上架Top N",IF($N16&gt;=参数配置!$B$18,"观察跟进","暂缓/优化后再评"))))</f>
        <v/>
      </c>
    </row>
    <row r="17" customFormat="false" ht="15" hidden="false" customHeight="false" outlineLevel="0" collapsed="false">
      <c r="A17" s="44"/>
      <c r="B17" s="49" t="str">
        <f aca="false">IFERROR(VLOOKUP($A17,SKU主表!$A:$M,2,0),"")</f>
        <v/>
      </c>
      <c r="C17" s="50" t="str">
        <f aca="false">IFERROR(VLOOKUP($A17,SKU主表!$A:$M,9,0),"")</f>
        <v/>
      </c>
      <c r="D17" s="44"/>
      <c r="E17" s="44"/>
      <c r="F17" s="51" t="str">
        <f aca="false">IF($A17="","",IF(OR($C17="禁售",$C17="需资质",$D17="是",$E17="是"),"是","否"))</f>
        <v/>
      </c>
      <c r="G17" s="56"/>
      <c r="H17" s="56"/>
      <c r="I17" s="56"/>
      <c r="J17" s="56"/>
      <c r="K17" s="56"/>
      <c r="L17" s="56"/>
      <c r="M17" s="56"/>
      <c r="N17" s="53" t="str">
        <f aca="false">IF($A17="","",IF($F17="是",0,SUMPRODUCT($G17:$M17,$G$3:$M$3)))</f>
        <v/>
      </c>
      <c r="O17" s="54" t="str">
        <f aca="false">IF(OR($A17="",$N17=""),"",RANK($N17,$N$5:$N$34,0))</f>
        <v/>
      </c>
      <c r="P17" s="55" t="str">
        <f aca="false">IF($A17="","",IF($F17="是","⛔淘汰(一票否决)",IF($O17&lt;=参数配置!$B$17,"⭐优先上架Top N",IF($N17&gt;=参数配置!$B$18,"观察跟进","暂缓/优化后再评"))))</f>
        <v/>
      </c>
    </row>
    <row r="18" customFormat="false" ht="15" hidden="false" customHeight="false" outlineLevel="0" collapsed="false">
      <c r="A18" s="44"/>
      <c r="B18" s="49" t="str">
        <f aca="false">IFERROR(VLOOKUP($A18,SKU主表!$A:$M,2,0),"")</f>
        <v/>
      </c>
      <c r="C18" s="50" t="str">
        <f aca="false">IFERROR(VLOOKUP($A18,SKU主表!$A:$M,9,0),"")</f>
        <v/>
      </c>
      <c r="D18" s="44"/>
      <c r="E18" s="44"/>
      <c r="F18" s="51" t="str">
        <f aca="false">IF($A18="","",IF(OR($C18="禁售",$C18="需资质",$D18="是",$E18="是"),"是","否"))</f>
        <v/>
      </c>
      <c r="G18" s="56"/>
      <c r="H18" s="56"/>
      <c r="I18" s="56"/>
      <c r="J18" s="56"/>
      <c r="K18" s="56"/>
      <c r="L18" s="56"/>
      <c r="M18" s="56"/>
      <c r="N18" s="53" t="str">
        <f aca="false">IF($A18="","",IF($F18="是",0,SUMPRODUCT($G18:$M18,$G$3:$M$3)))</f>
        <v/>
      </c>
      <c r="O18" s="54" t="str">
        <f aca="false">IF(OR($A18="",$N18=""),"",RANK($N18,$N$5:$N$34,0))</f>
        <v/>
      </c>
      <c r="P18" s="55" t="str">
        <f aca="false">IF($A18="","",IF($F18="是","⛔淘汰(一票否决)",IF($O18&lt;=参数配置!$B$17,"⭐优先上架Top N",IF($N18&gt;=参数配置!$B$18,"观察跟进","暂缓/优化后再评"))))</f>
        <v/>
      </c>
    </row>
    <row r="19" customFormat="false" ht="15" hidden="false" customHeight="false" outlineLevel="0" collapsed="false">
      <c r="A19" s="44"/>
      <c r="B19" s="49" t="str">
        <f aca="false">IFERROR(VLOOKUP($A19,SKU主表!$A:$M,2,0),"")</f>
        <v/>
      </c>
      <c r="C19" s="50" t="str">
        <f aca="false">IFERROR(VLOOKUP($A19,SKU主表!$A:$M,9,0),"")</f>
        <v/>
      </c>
      <c r="D19" s="44"/>
      <c r="E19" s="44"/>
      <c r="F19" s="51" t="str">
        <f aca="false">IF($A19="","",IF(OR($C19="禁售",$C19="需资质",$D19="是",$E19="是"),"是","否"))</f>
        <v/>
      </c>
      <c r="G19" s="56"/>
      <c r="H19" s="56"/>
      <c r="I19" s="56"/>
      <c r="J19" s="56"/>
      <c r="K19" s="56"/>
      <c r="L19" s="56"/>
      <c r="M19" s="56"/>
      <c r="N19" s="53" t="str">
        <f aca="false">IF($A19="","",IF($F19="是",0,SUMPRODUCT($G19:$M19,$G$3:$M$3)))</f>
        <v/>
      </c>
      <c r="O19" s="54" t="str">
        <f aca="false">IF(OR($A19="",$N19=""),"",RANK($N19,$N$5:$N$34,0))</f>
        <v/>
      </c>
      <c r="P19" s="55" t="str">
        <f aca="false">IF($A19="","",IF($F19="是","⛔淘汰(一票否决)",IF($O19&lt;=参数配置!$B$17,"⭐优先上架Top N",IF($N19&gt;=参数配置!$B$18,"观察跟进","暂缓/优化后再评"))))</f>
        <v/>
      </c>
    </row>
    <row r="20" customFormat="false" ht="15" hidden="false" customHeight="false" outlineLevel="0" collapsed="false">
      <c r="A20" s="44"/>
      <c r="B20" s="49" t="str">
        <f aca="false">IFERROR(VLOOKUP($A20,SKU主表!$A:$M,2,0),"")</f>
        <v/>
      </c>
      <c r="C20" s="50" t="str">
        <f aca="false">IFERROR(VLOOKUP($A20,SKU主表!$A:$M,9,0),"")</f>
        <v/>
      </c>
      <c r="D20" s="44"/>
      <c r="E20" s="44"/>
      <c r="F20" s="51" t="str">
        <f aca="false">IF($A20="","",IF(OR($C20="禁售",$C20="需资质",$D20="是",$E20="是"),"是","否"))</f>
        <v/>
      </c>
      <c r="G20" s="56"/>
      <c r="H20" s="56"/>
      <c r="I20" s="56"/>
      <c r="J20" s="56"/>
      <c r="K20" s="56"/>
      <c r="L20" s="56"/>
      <c r="M20" s="56"/>
      <c r="N20" s="53" t="str">
        <f aca="false">IF($A20="","",IF($F20="是",0,SUMPRODUCT($G20:$M20,$G$3:$M$3)))</f>
        <v/>
      </c>
      <c r="O20" s="54" t="str">
        <f aca="false">IF(OR($A20="",$N20=""),"",RANK($N20,$N$5:$N$34,0))</f>
        <v/>
      </c>
      <c r="P20" s="55" t="str">
        <f aca="false">IF($A20="","",IF($F20="是","⛔淘汰(一票否决)",IF($O20&lt;=参数配置!$B$17,"⭐优先上架Top N",IF($N20&gt;=参数配置!$B$18,"观察跟进","暂缓/优化后再评"))))</f>
        <v/>
      </c>
    </row>
    <row r="21" customFormat="false" ht="15" hidden="false" customHeight="false" outlineLevel="0" collapsed="false">
      <c r="A21" s="44"/>
      <c r="B21" s="49" t="str">
        <f aca="false">IFERROR(VLOOKUP($A21,SKU主表!$A:$M,2,0),"")</f>
        <v/>
      </c>
      <c r="C21" s="50" t="str">
        <f aca="false">IFERROR(VLOOKUP($A21,SKU主表!$A:$M,9,0),"")</f>
        <v/>
      </c>
      <c r="D21" s="44"/>
      <c r="E21" s="44"/>
      <c r="F21" s="51" t="str">
        <f aca="false">IF($A21="","",IF(OR($C21="禁售",$C21="需资质",$D21="是",$E21="是"),"是","否"))</f>
        <v/>
      </c>
      <c r="G21" s="56"/>
      <c r="H21" s="56"/>
      <c r="I21" s="56"/>
      <c r="J21" s="56"/>
      <c r="K21" s="56"/>
      <c r="L21" s="56"/>
      <c r="M21" s="56"/>
      <c r="N21" s="53" t="str">
        <f aca="false">IF($A21="","",IF($F21="是",0,SUMPRODUCT($G21:$M21,$G$3:$M$3)))</f>
        <v/>
      </c>
      <c r="O21" s="54" t="str">
        <f aca="false">IF(OR($A21="",$N21=""),"",RANK($N21,$N$5:$N$34,0))</f>
        <v/>
      </c>
      <c r="P21" s="55" t="str">
        <f aca="false">IF($A21="","",IF($F21="是","⛔淘汰(一票否决)",IF($O21&lt;=参数配置!$B$17,"⭐优先上架Top N",IF($N21&gt;=参数配置!$B$18,"观察跟进","暂缓/优化后再评"))))</f>
        <v/>
      </c>
    </row>
    <row r="22" customFormat="false" ht="15" hidden="false" customHeight="false" outlineLevel="0" collapsed="false">
      <c r="A22" s="44"/>
      <c r="B22" s="49" t="str">
        <f aca="false">IFERROR(VLOOKUP($A22,SKU主表!$A:$M,2,0),"")</f>
        <v/>
      </c>
      <c r="C22" s="50" t="str">
        <f aca="false">IFERROR(VLOOKUP($A22,SKU主表!$A:$M,9,0),"")</f>
        <v/>
      </c>
      <c r="D22" s="44"/>
      <c r="E22" s="44"/>
      <c r="F22" s="51" t="str">
        <f aca="false">IF($A22="","",IF(OR($C22="禁售",$C22="需资质",$D22="是",$E22="是"),"是","否"))</f>
        <v/>
      </c>
      <c r="G22" s="56"/>
      <c r="H22" s="56"/>
      <c r="I22" s="56"/>
      <c r="J22" s="56"/>
      <c r="K22" s="56"/>
      <c r="L22" s="56"/>
      <c r="M22" s="56"/>
      <c r="N22" s="53" t="str">
        <f aca="false">IF($A22="","",IF($F22="是",0,SUMPRODUCT($G22:$M22,$G$3:$M$3)))</f>
        <v/>
      </c>
      <c r="O22" s="54" t="str">
        <f aca="false">IF(OR($A22="",$N22=""),"",RANK($N22,$N$5:$N$34,0))</f>
        <v/>
      </c>
      <c r="P22" s="55" t="str">
        <f aca="false">IF($A22="","",IF($F22="是","⛔淘汰(一票否决)",IF($O22&lt;=参数配置!$B$17,"⭐优先上架Top N",IF($N22&gt;=参数配置!$B$18,"观察跟进","暂缓/优化后再评"))))</f>
        <v/>
      </c>
    </row>
    <row r="23" customFormat="false" ht="15" hidden="false" customHeight="false" outlineLevel="0" collapsed="false">
      <c r="A23" s="44"/>
      <c r="B23" s="49" t="str">
        <f aca="false">IFERROR(VLOOKUP($A23,SKU主表!$A:$M,2,0),"")</f>
        <v/>
      </c>
      <c r="C23" s="50" t="str">
        <f aca="false">IFERROR(VLOOKUP($A23,SKU主表!$A:$M,9,0),"")</f>
        <v/>
      </c>
      <c r="D23" s="44"/>
      <c r="E23" s="44"/>
      <c r="F23" s="51" t="str">
        <f aca="false">IF($A23="","",IF(OR($C23="禁售",$C23="需资质",$D23="是",$E23="是"),"是","否"))</f>
        <v/>
      </c>
      <c r="G23" s="56"/>
      <c r="H23" s="56"/>
      <c r="I23" s="56"/>
      <c r="J23" s="56"/>
      <c r="K23" s="56"/>
      <c r="L23" s="56"/>
      <c r="M23" s="56"/>
      <c r="N23" s="53" t="str">
        <f aca="false">IF($A23="","",IF($F23="是",0,SUMPRODUCT($G23:$M23,$G$3:$M$3)))</f>
        <v/>
      </c>
      <c r="O23" s="54" t="str">
        <f aca="false">IF(OR($A23="",$N23=""),"",RANK($N23,$N$5:$N$34,0))</f>
        <v/>
      </c>
      <c r="P23" s="55" t="str">
        <f aca="false">IF($A23="","",IF($F23="是","⛔淘汰(一票否决)",IF($O23&lt;=参数配置!$B$17,"⭐优先上架Top N",IF($N23&gt;=参数配置!$B$18,"观察跟进","暂缓/优化后再评"))))</f>
        <v/>
      </c>
    </row>
    <row r="24" customFormat="false" ht="15" hidden="false" customHeight="false" outlineLevel="0" collapsed="false">
      <c r="A24" s="44"/>
      <c r="B24" s="49" t="str">
        <f aca="false">IFERROR(VLOOKUP($A24,SKU主表!$A:$M,2,0),"")</f>
        <v/>
      </c>
      <c r="C24" s="50" t="str">
        <f aca="false">IFERROR(VLOOKUP($A24,SKU主表!$A:$M,9,0),"")</f>
        <v/>
      </c>
      <c r="D24" s="44"/>
      <c r="E24" s="44"/>
      <c r="F24" s="51" t="str">
        <f aca="false">IF($A24="","",IF(OR($C24="禁售",$C24="需资质",$D24="是",$E24="是"),"是","否"))</f>
        <v/>
      </c>
      <c r="G24" s="56"/>
      <c r="H24" s="56"/>
      <c r="I24" s="56"/>
      <c r="J24" s="56"/>
      <c r="K24" s="56"/>
      <c r="L24" s="56"/>
      <c r="M24" s="56"/>
      <c r="N24" s="53" t="str">
        <f aca="false">IF($A24="","",IF($F24="是",0,SUMPRODUCT($G24:$M24,$G$3:$M$3)))</f>
        <v/>
      </c>
      <c r="O24" s="54" t="str">
        <f aca="false">IF(OR($A24="",$N24=""),"",RANK($N24,$N$5:$N$34,0))</f>
        <v/>
      </c>
      <c r="P24" s="55" t="str">
        <f aca="false">IF($A24="","",IF($F24="是","⛔淘汰(一票否决)",IF($O24&lt;=参数配置!$B$17,"⭐优先上架Top N",IF($N24&gt;=参数配置!$B$18,"观察跟进","暂缓/优化后再评"))))</f>
        <v/>
      </c>
    </row>
    <row r="25" customFormat="false" ht="15" hidden="false" customHeight="false" outlineLevel="0" collapsed="false">
      <c r="A25" s="44"/>
      <c r="B25" s="49" t="str">
        <f aca="false">IFERROR(VLOOKUP($A25,SKU主表!$A:$M,2,0),"")</f>
        <v/>
      </c>
      <c r="C25" s="50" t="str">
        <f aca="false">IFERROR(VLOOKUP($A25,SKU主表!$A:$M,9,0),"")</f>
        <v/>
      </c>
      <c r="D25" s="44"/>
      <c r="E25" s="44"/>
      <c r="F25" s="51" t="str">
        <f aca="false">IF($A25="","",IF(OR($C25="禁售",$C25="需资质",$D25="是",$E25="是"),"是","否"))</f>
        <v/>
      </c>
      <c r="G25" s="56"/>
      <c r="H25" s="56"/>
      <c r="I25" s="56"/>
      <c r="J25" s="56"/>
      <c r="K25" s="56"/>
      <c r="L25" s="56"/>
      <c r="M25" s="56"/>
      <c r="N25" s="53" t="str">
        <f aca="false">IF($A25="","",IF($F25="是",0,SUMPRODUCT($G25:$M25,$G$3:$M$3)))</f>
        <v/>
      </c>
      <c r="O25" s="54" t="str">
        <f aca="false">IF(OR($A25="",$N25=""),"",RANK($N25,$N$5:$N$34,0))</f>
        <v/>
      </c>
      <c r="P25" s="55" t="str">
        <f aca="false">IF($A25="","",IF($F25="是","⛔淘汰(一票否决)",IF($O25&lt;=参数配置!$B$17,"⭐优先上架Top N",IF($N25&gt;=参数配置!$B$18,"观察跟进","暂缓/优化后再评"))))</f>
        <v/>
      </c>
    </row>
    <row r="26" customFormat="false" ht="15" hidden="false" customHeight="false" outlineLevel="0" collapsed="false">
      <c r="A26" s="44"/>
      <c r="B26" s="49" t="str">
        <f aca="false">IFERROR(VLOOKUP($A26,SKU主表!$A:$M,2,0),"")</f>
        <v/>
      </c>
      <c r="C26" s="50" t="str">
        <f aca="false">IFERROR(VLOOKUP($A26,SKU主表!$A:$M,9,0),"")</f>
        <v/>
      </c>
      <c r="D26" s="44"/>
      <c r="E26" s="44"/>
      <c r="F26" s="51" t="str">
        <f aca="false">IF($A26="","",IF(OR($C26="禁售",$C26="需资质",$D26="是",$E26="是"),"是","否"))</f>
        <v/>
      </c>
      <c r="G26" s="56"/>
      <c r="H26" s="56"/>
      <c r="I26" s="56"/>
      <c r="J26" s="56"/>
      <c r="K26" s="56"/>
      <c r="L26" s="56"/>
      <c r="M26" s="56"/>
      <c r="N26" s="53" t="str">
        <f aca="false">IF($A26="","",IF($F26="是",0,SUMPRODUCT($G26:$M26,$G$3:$M$3)))</f>
        <v/>
      </c>
      <c r="O26" s="54" t="str">
        <f aca="false">IF(OR($A26="",$N26=""),"",RANK($N26,$N$5:$N$34,0))</f>
        <v/>
      </c>
      <c r="P26" s="55" t="str">
        <f aca="false">IF($A26="","",IF($F26="是","⛔淘汰(一票否决)",IF($O26&lt;=参数配置!$B$17,"⭐优先上架Top N",IF($N26&gt;=参数配置!$B$18,"观察跟进","暂缓/优化后再评"))))</f>
        <v/>
      </c>
    </row>
    <row r="27" customFormat="false" ht="15" hidden="false" customHeight="false" outlineLevel="0" collapsed="false">
      <c r="A27" s="44"/>
      <c r="B27" s="49" t="str">
        <f aca="false">IFERROR(VLOOKUP($A27,SKU主表!$A:$M,2,0),"")</f>
        <v/>
      </c>
      <c r="C27" s="50" t="str">
        <f aca="false">IFERROR(VLOOKUP($A27,SKU主表!$A:$M,9,0),"")</f>
        <v/>
      </c>
      <c r="D27" s="44"/>
      <c r="E27" s="44"/>
      <c r="F27" s="51" t="str">
        <f aca="false">IF($A27="","",IF(OR($C27="禁售",$C27="需资质",$D27="是",$E27="是"),"是","否"))</f>
        <v/>
      </c>
      <c r="G27" s="56"/>
      <c r="H27" s="56"/>
      <c r="I27" s="56"/>
      <c r="J27" s="56"/>
      <c r="K27" s="56"/>
      <c r="L27" s="56"/>
      <c r="M27" s="56"/>
      <c r="N27" s="53" t="str">
        <f aca="false">IF($A27="","",IF($F27="是",0,SUMPRODUCT($G27:$M27,$G$3:$M$3)))</f>
        <v/>
      </c>
      <c r="O27" s="54" t="str">
        <f aca="false">IF(OR($A27="",$N27=""),"",RANK($N27,$N$5:$N$34,0))</f>
        <v/>
      </c>
      <c r="P27" s="55" t="str">
        <f aca="false">IF($A27="","",IF($F27="是","⛔淘汰(一票否决)",IF($O27&lt;=参数配置!$B$17,"⭐优先上架Top N",IF($N27&gt;=参数配置!$B$18,"观察跟进","暂缓/优化后再评"))))</f>
        <v/>
      </c>
    </row>
    <row r="28" customFormat="false" ht="15" hidden="false" customHeight="false" outlineLevel="0" collapsed="false">
      <c r="A28" s="44"/>
      <c r="B28" s="49" t="str">
        <f aca="false">IFERROR(VLOOKUP($A28,SKU主表!$A:$M,2,0),"")</f>
        <v/>
      </c>
      <c r="C28" s="50" t="str">
        <f aca="false">IFERROR(VLOOKUP($A28,SKU主表!$A:$M,9,0),"")</f>
        <v/>
      </c>
      <c r="D28" s="44"/>
      <c r="E28" s="44"/>
      <c r="F28" s="51" t="str">
        <f aca="false">IF($A28="","",IF(OR($C28="禁售",$C28="需资质",$D28="是",$E28="是"),"是","否"))</f>
        <v/>
      </c>
      <c r="G28" s="56"/>
      <c r="H28" s="56"/>
      <c r="I28" s="56"/>
      <c r="J28" s="56"/>
      <c r="K28" s="56"/>
      <c r="L28" s="56"/>
      <c r="M28" s="56"/>
      <c r="N28" s="53" t="str">
        <f aca="false">IF($A28="","",IF($F28="是",0,SUMPRODUCT($G28:$M28,$G$3:$M$3)))</f>
        <v/>
      </c>
      <c r="O28" s="54" t="str">
        <f aca="false">IF(OR($A28="",$N28=""),"",RANK($N28,$N$5:$N$34,0))</f>
        <v/>
      </c>
      <c r="P28" s="55" t="str">
        <f aca="false">IF($A28="","",IF($F28="是","⛔淘汰(一票否决)",IF($O28&lt;=参数配置!$B$17,"⭐优先上架Top N",IF($N28&gt;=参数配置!$B$18,"观察跟进","暂缓/优化后再评"))))</f>
        <v/>
      </c>
    </row>
    <row r="29" customFormat="false" ht="15" hidden="false" customHeight="false" outlineLevel="0" collapsed="false">
      <c r="A29" s="44"/>
      <c r="B29" s="49" t="str">
        <f aca="false">IFERROR(VLOOKUP($A29,SKU主表!$A:$M,2,0),"")</f>
        <v/>
      </c>
      <c r="C29" s="50" t="str">
        <f aca="false">IFERROR(VLOOKUP($A29,SKU主表!$A:$M,9,0),"")</f>
        <v/>
      </c>
      <c r="D29" s="44"/>
      <c r="E29" s="44"/>
      <c r="F29" s="51" t="str">
        <f aca="false">IF($A29="","",IF(OR($C29="禁售",$C29="需资质",$D29="是",$E29="是"),"是","否"))</f>
        <v/>
      </c>
      <c r="G29" s="56"/>
      <c r="H29" s="56"/>
      <c r="I29" s="56"/>
      <c r="J29" s="56"/>
      <c r="K29" s="56"/>
      <c r="L29" s="56"/>
      <c r="M29" s="56"/>
      <c r="N29" s="53" t="str">
        <f aca="false">IF($A29="","",IF($F29="是",0,SUMPRODUCT($G29:$M29,$G$3:$M$3)))</f>
        <v/>
      </c>
      <c r="O29" s="54" t="str">
        <f aca="false">IF(OR($A29="",$N29=""),"",RANK($N29,$N$5:$N$34,0))</f>
        <v/>
      </c>
      <c r="P29" s="55" t="str">
        <f aca="false">IF($A29="","",IF($F29="是","⛔淘汰(一票否决)",IF($O29&lt;=参数配置!$B$17,"⭐优先上架Top N",IF($N29&gt;=参数配置!$B$18,"观察跟进","暂缓/优化后再评"))))</f>
        <v/>
      </c>
    </row>
    <row r="30" customFormat="false" ht="15" hidden="false" customHeight="false" outlineLevel="0" collapsed="false">
      <c r="A30" s="44"/>
      <c r="B30" s="49" t="str">
        <f aca="false">IFERROR(VLOOKUP($A30,SKU主表!$A:$M,2,0),"")</f>
        <v/>
      </c>
      <c r="C30" s="50" t="str">
        <f aca="false">IFERROR(VLOOKUP($A30,SKU主表!$A:$M,9,0),"")</f>
        <v/>
      </c>
      <c r="D30" s="44"/>
      <c r="E30" s="44"/>
      <c r="F30" s="51" t="str">
        <f aca="false">IF($A30="","",IF(OR($C30="禁售",$C30="需资质",$D30="是",$E30="是"),"是","否"))</f>
        <v/>
      </c>
      <c r="G30" s="56"/>
      <c r="H30" s="56"/>
      <c r="I30" s="56"/>
      <c r="J30" s="56"/>
      <c r="K30" s="56"/>
      <c r="L30" s="56"/>
      <c r="M30" s="56"/>
      <c r="N30" s="53" t="str">
        <f aca="false">IF($A30="","",IF($F30="是",0,SUMPRODUCT($G30:$M30,$G$3:$M$3)))</f>
        <v/>
      </c>
      <c r="O30" s="54" t="str">
        <f aca="false">IF(OR($A30="",$N30=""),"",RANK($N30,$N$5:$N$34,0))</f>
        <v/>
      </c>
      <c r="P30" s="55" t="str">
        <f aca="false">IF($A30="","",IF($F30="是","⛔淘汰(一票否决)",IF($O30&lt;=参数配置!$B$17,"⭐优先上架Top N",IF($N30&gt;=参数配置!$B$18,"观察跟进","暂缓/优化后再评"))))</f>
        <v/>
      </c>
    </row>
    <row r="31" customFormat="false" ht="15" hidden="false" customHeight="false" outlineLevel="0" collapsed="false">
      <c r="A31" s="44"/>
      <c r="B31" s="49" t="str">
        <f aca="false">IFERROR(VLOOKUP($A31,SKU主表!$A:$M,2,0),"")</f>
        <v/>
      </c>
      <c r="C31" s="50" t="str">
        <f aca="false">IFERROR(VLOOKUP($A31,SKU主表!$A:$M,9,0),"")</f>
        <v/>
      </c>
      <c r="D31" s="44"/>
      <c r="E31" s="44"/>
      <c r="F31" s="51" t="str">
        <f aca="false">IF($A31="","",IF(OR($C31="禁售",$C31="需资质",$D31="是",$E31="是"),"是","否"))</f>
        <v/>
      </c>
      <c r="G31" s="56"/>
      <c r="H31" s="56"/>
      <c r="I31" s="56"/>
      <c r="J31" s="56"/>
      <c r="K31" s="56"/>
      <c r="L31" s="56"/>
      <c r="M31" s="56"/>
      <c r="N31" s="53" t="str">
        <f aca="false">IF($A31="","",IF($F31="是",0,SUMPRODUCT($G31:$M31,$G$3:$M$3)))</f>
        <v/>
      </c>
      <c r="O31" s="54" t="str">
        <f aca="false">IF(OR($A31="",$N31=""),"",RANK($N31,$N$5:$N$34,0))</f>
        <v/>
      </c>
      <c r="P31" s="55" t="str">
        <f aca="false">IF($A31="","",IF($F31="是","⛔淘汰(一票否决)",IF($O31&lt;=参数配置!$B$17,"⭐优先上架Top N",IF($N31&gt;=参数配置!$B$18,"观察跟进","暂缓/优化后再评"))))</f>
        <v/>
      </c>
    </row>
    <row r="32" customFormat="false" ht="15" hidden="false" customHeight="false" outlineLevel="0" collapsed="false">
      <c r="A32" s="44"/>
      <c r="B32" s="49" t="str">
        <f aca="false">IFERROR(VLOOKUP($A32,SKU主表!$A:$M,2,0),"")</f>
        <v/>
      </c>
      <c r="C32" s="50" t="str">
        <f aca="false">IFERROR(VLOOKUP($A32,SKU主表!$A:$M,9,0),"")</f>
        <v/>
      </c>
      <c r="D32" s="44"/>
      <c r="E32" s="44"/>
      <c r="F32" s="51" t="str">
        <f aca="false">IF($A32="","",IF(OR($C32="禁售",$C32="需资质",$D32="是",$E32="是"),"是","否"))</f>
        <v/>
      </c>
      <c r="G32" s="56"/>
      <c r="H32" s="56"/>
      <c r="I32" s="56"/>
      <c r="J32" s="56"/>
      <c r="K32" s="56"/>
      <c r="L32" s="56"/>
      <c r="M32" s="56"/>
      <c r="N32" s="53" t="str">
        <f aca="false">IF($A32="","",IF($F32="是",0,SUMPRODUCT($G32:$M32,$G$3:$M$3)))</f>
        <v/>
      </c>
      <c r="O32" s="54" t="str">
        <f aca="false">IF(OR($A32="",$N32=""),"",RANK($N32,$N$5:$N$34,0))</f>
        <v/>
      </c>
      <c r="P32" s="55" t="str">
        <f aca="false">IF($A32="","",IF($F32="是","⛔淘汰(一票否决)",IF($O32&lt;=参数配置!$B$17,"⭐优先上架Top N",IF($N32&gt;=参数配置!$B$18,"观察跟进","暂缓/优化后再评"))))</f>
        <v/>
      </c>
    </row>
    <row r="33" customFormat="false" ht="15" hidden="false" customHeight="false" outlineLevel="0" collapsed="false">
      <c r="A33" s="44"/>
      <c r="B33" s="49" t="str">
        <f aca="false">IFERROR(VLOOKUP($A33,SKU主表!$A:$M,2,0),"")</f>
        <v/>
      </c>
      <c r="C33" s="50" t="str">
        <f aca="false">IFERROR(VLOOKUP($A33,SKU主表!$A:$M,9,0),"")</f>
        <v/>
      </c>
      <c r="D33" s="44"/>
      <c r="E33" s="44"/>
      <c r="F33" s="51" t="str">
        <f aca="false">IF($A33="","",IF(OR($C33="禁售",$C33="需资质",$D33="是",$E33="是"),"是","否"))</f>
        <v/>
      </c>
      <c r="G33" s="56"/>
      <c r="H33" s="56"/>
      <c r="I33" s="56"/>
      <c r="J33" s="56"/>
      <c r="K33" s="56"/>
      <c r="L33" s="56"/>
      <c r="M33" s="56"/>
      <c r="N33" s="53" t="str">
        <f aca="false">IF($A33="","",IF($F33="是",0,SUMPRODUCT($G33:$M33,$G$3:$M$3)))</f>
        <v/>
      </c>
      <c r="O33" s="54" t="str">
        <f aca="false">IF(OR($A33="",$N33=""),"",RANK($N33,$N$5:$N$34,0))</f>
        <v/>
      </c>
      <c r="P33" s="55" t="str">
        <f aca="false">IF($A33="","",IF($F33="是","⛔淘汰(一票否决)",IF($O33&lt;=参数配置!$B$17,"⭐优先上架Top N",IF($N33&gt;=参数配置!$B$18,"观察跟进","暂缓/优化后再评"))))</f>
        <v/>
      </c>
    </row>
    <row r="34" customFormat="false" ht="15" hidden="false" customHeight="false" outlineLevel="0" collapsed="false">
      <c r="A34" s="44"/>
      <c r="B34" s="49" t="str">
        <f aca="false">IFERROR(VLOOKUP($A34,SKU主表!$A:$M,2,0),"")</f>
        <v/>
      </c>
      <c r="C34" s="50" t="str">
        <f aca="false">IFERROR(VLOOKUP($A34,SKU主表!$A:$M,9,0),"")</f>
        <v/>
      </c>
      <c r="D34" s="44"/>
      <c r="E34" s="44"/>
      <c r="F34" s="51" t="str">
        <f aca="false">IF($A34="","",IF(OR($C34="禁售",$C34="需资质",$D34="是",$E34="是"),"是","否"))</f>
        <v/>
      </c>
      <c r="G34" s="56"/>
      <c r="H34" s="56"/>
      <c r="I34" s="56"/>
      <c r="J34" s="56"/>
      <c r="K34" s="56"/>
      <c r="L34" s="56"/>
      <c r="M34" s="56"/>
      <c r="N34" s="53" t="str">
        <f aca="false">IF($A34="","",IF($F34="是",0,SUMPRODUCT($G34:$M34,$G$3:$M$3)))</f>
        <v/>
      </c>
      <c r="O34" s="54" t="str">
        <f aca="false">IF(OR($A34="",$N34=""),"",RANK($N34,$N$5:$N$34,0))</f>
        <v/>
      </c>
      <c r="P34" s="55" t="str">
        <f aca="false">IF($A34="","",IF($F34="是","⛔淘汰(一票否决)",IF($O34&lt;=参数配置!$B$17,"⭐优先上架Top N",IF($N34&gt;=参数配置!$B$18,"观察跟进","暂缓/优化后再评"))))</f>
        <v/>
      </c>
    </row>
  </sheetData>
  <mergeCells count="2">
    <mergeCell ref="A1:P1"/>
    <mergeCell ref="A2:P2"/>
  </mergeCells>
  <conditionalFormatting sqref="N3">
    <cfRule type="expression" priority="2" aboveAverage="0" equalAverage="0" bottom="0" percent="0" rank="0" text="" dxfId="0">
      <formula>ABS($N$3-1)&gt;0.001</formula>
    </cfRule>
    <cfRule type="expression" priority="3" aboveAverage="0" equalAverage="0" bottom="0" percent="0" rank="0" text="" dxfId="2">
      <formula>ABS($N$3-1)&lt;=0.001</formula>
    </cfRule>
  </conditionalFormatting>
  <conditionalFormatting sqref="F5:F34">
    <cfRule type="cellIs" priority="4" operator="equal" aboveAverage="0" equalAverage="0" bottom="0" percent="0" rank="0" text="" dxfId="0">
      <formula>"是"</formula>
    </cfRule>
  </conditionalFormatting>
  <conditionalFormatting sqref="P5:P34">
    <cfRule type="expression" priority="5" aboveAverage="0" equalAverage="0" bottom="0" percent="0" rank="0" text="" dxfId="3">
      <formula>ISNUMBER(SEARCH("⛔",$P5))</formula>
    </cfRule>
    <cfRule type="expression" priority="6" aboveAverage="0" equalAverage="0" bottom="0" percent="0" rank="0" text="" dxfId="4">
      <formula>ISNUMBER(SEARCH("⭐",$P5))</formula>
    </cfRule>
  </conditionalFormatting>
  <dataValidations count="2">
    <dataValidation allowBlank="true" errorStyle="stop" operator="between" showDropDown="false" showErrorMessage="false" showInputMessage="false" sqref="D5:E34" type="list">
      <formula1>"是,否"</formula1>
      <formula2>0</formula2>
    </dataValidation>
    <dataValidation allowBlank="true" error="请输入 1–5 的整数" errorStyle="stop" errorTitle="打分范围" operator="between" showDropDown="false" showErrorMessage="false" showInputMessage="false" sqref="G5:M3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18.2"/>
    <col collapsed="false" customWidth="true" hidden="false" outlineLevel="0" max="3" min="3" style="0" width="9.1"/>
    <col collapsed="false" customWidth="true" hidden="false" outlineLevel="0" max="5" min="4" style="0" width="10.01"/>
    <col collapsed="false" customWidth="true" hidden="false" outlineLevel="0" max="6" min="6" style="0" width="11.83"/>
    <col collapsed="false" customWidth="true" hidden="false" outlineLevel="0" max="7" min="7" style="0" width="10.01"/>
    <col collapsed="false" customWidth="true" hidden="false" outlineLevel="0" max="8" min="8" style="0" width="13.65"/>
    <col collapsed="false" customWidth="true" hidden="false" outlineLevel="0" max="9" min="9" style="0" width="10.92"/>
    <col collapsed="false" customWidth="true" hidden="false" outlineLevel="0" max="10" min="10" style="0" width="9.1"/>
    <col collapsed="false" customWidth="true" hidden="false" outlineLevel="0" max="12" min="11" style="0" width="10.92"/>
    <col collapsed="false" customWidth="true" hidden="false" outlineLevel="0" max="13" min="13" style="0" width="10.01"/>
    <col collapsed="false" customWidth="true" hidden="false" outlineLevel="0" max="17" min="14" style="0" width="9.1"/>
    <col collapsed="false" customWidth="true" hidden="false" outlineLevel="0" max="18" min="18" style="0" width="10.92"/>
    <col collapsed="false" customWidth="true" hidden="false" outlineLevel="0" max="19" min="19" style="0" width="10.01"/>
    <col collapsed="false" customWidth="true" hidden="false" outlineLevel="0" max="20" min="20" style="0" width="8.19"/>
    <col collapsed="false" customWidth="true" hidden="false" outlineLevel="0" max="21" min="21" style="0" width="10.01"/>
    <col collapsed="false" customWidth="true" hidden="false" outlineLevel="0" max="22" min="22" style="0" width="9.1"/>
    <col collapsed="false" customWidth="true" hidden="false" outlineLevel="0" max="23" min="23" style="0" width="11.83"/>
    <col collapsed="false" customWidth="true" hidden="false" outlineLevel="0" max="25" min="24" style="0" width="15.47"/>
    <col collapsed="false" customWidth="true" hidden="false" outlineLevel="0" max="26" min="26" style="0" width="23.66"/>
  </cols>
  <sheetData>
    <row r="1" customFormat="false" ht="25.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0" hidden="false" customHeight="true" outlineLevel="0" collapsed="false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2" hidden="false" customHeight="true" outlineLevel="0" collapsed="false">
      <c r="A3" s="31" t="s">
        <v>92</v>
      </c>
      <c r="B3" s="31" t="s">
        <v>93</v>
      </c>
      <c r="C3" s="31" t="s">
        <v>138</v>
      </c>
      <c r="D3" s="31" t="s">
        <v>96</v>
      </c>
      <c r="E3" s="31" t="s">
        <v>155</v>
      </c>
      <c r="F3" s="31" t="s">
        <v>156</v>
      </c>
      <c r="G3" s="31" t="s">
        <v>157</v>
      </c>
      <c r="H3" s="31" t="s">
        <v>158</v>
      </c>
      <c r="I3" s="31" t="s">
        <v>159</v>
      </c>
      <c r="J3" s="31" t="s">
        <v>160</v>
      </c>
      <c r="K3" s="31" t="s">
        <v>57</v>
      </c>
      <c r="L3" s="31" t="s">
        <v>59</v>
      </c>
      <c r="M3" s="31" t="s">
        <v>161</v>
      </c>
      <c r="N3" s="32" t="s">
        <v>162</v>
      </c>
      <c r="O3" s="31" t="s">
        <v>163</v>
      </c>
      <c r="P3" s="31" t="s">
        <v>164</v>
      </c>
      <c r="Q3" s="31" t="s">
        <v>165</v>
      </c>
      <c r="R3" s="31" t="s">
        <v>166</v>
      </c>
      <c r="S3" s="31" t="s">
        <v>167</v>
      </c>
      <c r="T3" s="31" t="s">
        <v>168</v>
      </c>
      <c r="U3" s="31" t="s">
        <v>169</v>
      </c>
      <c r="V3" s="31" t="s">
        <v>170</v>
      </c>
      <c r="W3" s="31" t="s">
        <v>171</v>
      </c>
      <c r="X3" s="31" t="s">
        <v>172</v>
      </c>
      <c r="Y3" s="31" t="s">
        <v>173</v>
      </c>
      <c r="Z3" s="31" t="s">
        <v>174</v>
      </c>
    </row>
    <row r="4" customFormat="false" ht="15" hidden="false" customHeight="false" outlineLevel="0" collapsed="false">
      <c r="A4" s="40" t="s">
        <v>105</v>
      </c>
      <c r="B4" s="49" t="str">
        <f aca="false">IFERROR(VLOOKUP($A4,SKU主表!$A:$M,2,0),"")</f>
        <v>印花头巾 Hijab Bawal Printed</v>
      </c>
      <c r="C4" s="50" t="str">
        <f aca="false">IFERROR(VLOOKUP($A4,SKU主表!$A:$M,9,0),"")</f>
        <v>通过</v>
      </c>
      <c r="D4" s="50" t="n">
        <f aca="false">IFERROR(VLOOKUP($A4,SKU主表!$A:$M,5,0),"")</f>
        <v>7.5</v>
      </c>
      <c r="E4" s="57" t="n">
        <v>30</v>
      </c>
      <c r="F4" s="57" t="n">
        <v>4</v>
      </c>
      <c r="G4" s="58" t="n">
        <v>0.1</v>
      </c>
      <c r="H4" s="58" t="n">
        <f aca="false">参数配置!$B$6</f>
        <v>0.0846</v>
      </c>
      <c r="I4" s="59" t="n">
        <f aca="false">IF($D4="","",$D4/参数配置!$B$5)</f>
        <v>4.41254339001</v>
      </c>
      <c r="J4" s="59" t="n">
        <f aca="false">IF($E4="","",$E4*$H4)</f>
        <v>2.538</v>
      </c>
      <c r="K4" s="59" t="n">
        <f aca="false">IF($E4="","",$E4*参数配置!$B$7)</f>
        <v>1.134</v>
      </c>
      <c r="L4" s="59" t="n">
        <f aca="false">IF($E4="","",参数配置!$B$8)</f>
        <v>0.54</v>
      </c>
      <c r="M4" s="59" t="n">
        <f aca="false">IF($E4="","",$E4*参数配置!$B$9)</f>
        <v>1.5</v>
      </c>
      <c r="N4" s="59" t="n">
        <f aca="false">IF($E4="","",IF($E4&lt;=参数配置!$B$11,$E4*参数配置!$B$10,0))</f>
        <v>3</v>
      </c>
      <c r="O4" s="59" t="n">
        <f aca="false">IF($E4="","",$E4*$G4)</f>
        <v>3</v>
      </c>
      <c r="P4" s="59" t="n">
        <f aca="false">IF($E4="","",$E4*参数配置!$B$14)</f>
        <v>0.9</v>
      </c>
      <c r="Q4" s="59" t="n">
        <f aca="false">IF($E4="","",$E4*参数配置!$B$15)</f>
        <v>1.5</v>
      </c>
      <c r="R4" s="59" t="n">
        <f aca="false">IF($E4="","",$I4+$F4+$J4+$K4+$L4+$M4+$N4+$O4+$P4+$Q4)</f>
        <v>22.52454339001</v>
      </c>
      <c r="S4" s="59" t="n">
        <f aca="false">IF($E4="","",$E4-$R4)</f>
        <v>7.47545660999</v>
      </c>
      <c r="T4" s="60" t="n">
        <f aca="false">IF(OR($E4="",$E4=0),"",$S4/$E4)</f>
        <v>0.249181886999667</v>
      </c>
      <c r="U4" s="61" t="n">
        <f aca="false">IF($E4="","",$S4*参数配置!$B$5)</f>
        <v>12.7060336</v>
      </c>
      <c r="V4" s="60" t="n">
        <f aca="false">IF($E4="","",1-$H4-参数配置!$B$7-参数配置!$B$9-$G4-参数配置!$B$14-参数配置!$B$15-IF($E4&lt;=参数配置!$B$11,参数配置!$B$10,0))</f>
        <v>0.5476</v>
      </c>
      <c r="W4" s="59" t="n">
        <f aca="false">IF($E4="","",$I4+$F4+$L4)</f>
        <v>8.95254339001</v>
      </c>
      <c r="X4" s="59" t="n">
        <f aca="false">IF($E4="","",IF($V4&gt;0,$W4/$V4,""))</f>
        <v>16.3486913623265</v>
      </c>
      <c r="Y4" s="59" t="n">
        <f aca="false">IF($E4="","",IF(($V4-参数配置!$B$13)&gt;0,$W4/($V4-参数配置!$B$13),""))</f>
        <v>25.7553031933544</v>
      </c>
      <c r="Z4" s="55" t="str">
        <f aca="false">IF($E4="","",IF(OR($C4="禁售",$C4="需资质"),"⛔"&amp;$C4&amp;"·不应进入利润表",IF($V4&lt;=0,"❗贡献率≤0·任何价都亏损",IF($E4&lt;$X4,"⛔低于保本价·亏损",IF($Y4="","⚠️目标不可达·需降本",IF($E4&lt;$Y4,"⚠️低于红线·未达目标利润率","✅达目标利润率"))))))</f>
        <v>✅达目标利润率</v>
      </c>
    </row>
    <row r="5" customFormat="false" ht="15" hidden="false" customHeight="false" outlineLevel="0" collapsed="false">
      <c r="A5" s="40" t="s">
        <v>105</v>
      </c>
      <c r="B5" s="49" t="str">
        <f aca="false">IFERROR(VLOOKUP($A5,SKU主表!$A:$M,2,0),"")</f>
        <v>印花头巾 Hijab Bawal Printed</v>
      </c>
      <c r="C5" s="50" t="str">
        <f aca="false">IFERROR(VLOOKUP($A5,SKU主表!$A:$M,9,0),"")</f>
        <v>通过</v>
      </c>
      <c r="D5" s="50" t="n">
        <f aca="false">IFERROR(VLOOKUP($A5,SKU主表!$A:$M,5,0),"")</f>
        <v>7.5</v>
      </c>
      <c r="E5" s="57" t="n">
        <v>15</v>
      </c>
      <c r="F5" s="57" t="n">
        <v>4</v>
      </c>
      <c r="G5" s="58" t="n">
        <v>0.1</v>
      </c>
      <c r="H5" s="58" t="n">
        <f aca="false">参数配置!$B$6</f>
        <v>0.0846</v>
      </c>
      <c r="I5" s="59" t="n">
        <f aca="false">IF($D5="","",$D5/参数配置!$B$5)</f>
        <v>4.41254339001</v>
      </c>
      <c r="J5" s="59" t="n">
        <f aca="false">IF($E5="","",$E5*$H5)</f>
        <v>1.269</v>
      </c>
      <c r="K5" s="59" t="n">
        <f aca="false">IF($E5="","",$E5*参数配置!$B$7)</f>
        <v>0.567</v>
      </c>
      <c r="L5" s="59" t="n">
        <f aca="false">IF($E5="","",参数配置!$B$8)</f>
        <v>0.54</v>
      </c>
      <c r="M5" s="59" t="n">
        <f aca="false">IF($E5="","",$E5*参数配置!$B$9)</f>
        <v>0.75</v>
      </c>
      <c r="N5" s="59" t="n">
        <f aca="false">IF($E5="","",IF($E5&lt;=参数配置!$B$11,$E5*参数配置!$B$10,0))</f>
        <v>1.5</v>
      </c>
      <c r="O5" s="59" t="n">
        <f aca="false">IF($E5="","",$E5*$G5)</f>
        <v>1.5</v>
      </c>
      <c r="P5" s="59" t="n">
        <f aca="false">IF($E5="","",$E5*参数配置!$B$14)</f>
        <v>0.45</v>
      </c>
      <c r="Q5" s="59" t="n">
        <f aca="false">IF($E5="","",$E5*参数配置!$B$15)</f>
        <v>0.75</v>
      </c>
      <c r="R5" s="59" t="n">
        <f aca="false">IF($E5="","",$I5+$F5+$J5+$K5+$L5+$M5+$N5+$O5+$P5+$Q5)</f>
        <v>15.73854339001</v>
      </c>
      <c r="S5" s="59" t="n">
        <f aca="false">IF($E5="","",$E5-$R5)</f>
        <v>-0.738543390010001</v>
      </c>
      <c r="T5" s="60" t="n">
        <f aca="false">IF(OR($E5="",$E5=0),"",$S5/$E5)</f>
        <v>-0.0492362260006667</v>
      </c>
      <c r="U5" s="61" t="n">
        <f aca="false">IF($E5="","",$S5*参数配置!$B$5)</f>
        <v>-1.2553022</v>
      </c>
      <c r="V5" s="60" t="n">
        <f aca="false">IF($E5="","",1-$H5-参数配置!$B$7-参数配置!$B$9-$G5-参数配置!$B$14-参数配置!$B$15-IF($E5&lt;=参数配置!$B$11,参数配置!$B$10,0))</f>
        <v>0.5476</v>
      </c>
      <c r="W5" s="59" t="n">
        <f aca="false">IF($E5="","",$I5+$F5+$L5)</f>
        <v>8.95254339001</v>
      </c>
      <c r="X5" s="59" t="n">
        <f aca="false">IF($E5="","",IF($V5&gt;0,$W5/$V5,""))</f>
        <v>16.3486913623265</v>
      </c>
      <c r="Y5" s="59" t="n">
        <f aca="false">IF($E5="","",IF(($V5-参数配置!$B$13)&gt;0,$W5/($V5-参数配置!$B$13),""))</f>
        <v>25.7553031933544</v>
      </c>
      <c r="Z5" s="55" t="str">
        <f aca="false">IF($E5="","",IF(OR($C5="禁售",$C5="需资质"),"⛔"&amp;$C5&amp;"·不应进入利润表",IF($V5&lt;=0,"❗贡献率≤0·任何价都亏损",IF($E5&lt;$X5,"⛔低于保本价·亏损",IF($Y5="","⚠️目标不可达·需降本",IF($E5&lt;$Y5,"⚠️低于红线·未达目标利润率","✅达目标利润率"))))))</f>
        <v>⛔低于保本价·亏损</v>
      </c>
    </row>
    <row r="6" customFormat="false" ht="15" hidden="false" customHeight="false" outlineLevel="0" collapsed="false">
      <c r="A6" s="40" t="s">
        <v>105</v>
      </c>
      <c r="B6" s="49" t="str">
        <f aca="false">IFERROR(VLOOKUP($A6,SKU主表!$A:$M,2,0),"")</f>
        <v>印花头巾 Hijab Bawal Printed</v>
      </c>
      <c r="C6" s="50" t="str">
        <f aca="false">IFERROR(VLOOKUP($A6,SKU主表!$A:$M,9,0),"")</f>
        <v>通过</v>
      </c>
      <c r="D6" s="50" t="n">
        <f aca="false">IFERROR(VLOOKUP($A6,SKU主表!$A:$M,5,0),"")</f>
        <v>7.5</v>
      </c>
      <c r="E6" s="57" t="n">
        <v>20</v>
      </c>
      <c r="F6" s="57" t="n">
        <v>4</v>
      </c>
      <c r="G6" s="58" t="n">
        <v>0.1</v>
      </c>
      <c r="H6" s="58" t="n">
        <f aca="false">参数配置!$B$6</f>
        <v>0.0846</v>
      </c>
      <c r="I6" s="59" t="n">
        <f aca="false">IF($D6="","",$D6/参数配置!$B$5)</f>
        <v>4.41254339001</v>
      </c>
      <c r="J6" s="59" t="n">
        <f aca="false">IF($E6="","",$E6*$H6)</f>
        <v>1.692</v>
      </c>
      <c r="K6" s="59" t="n">
        <f aca="false">IF($E6="","",$E6*参数配置!$B$7)</f>
        <v>0.756</v>
      </c>
      <c r="L6" s="59" t="n">
        <f aca="false">IF($E6="","",参数配置!$B$8)</f>
        <v>0.54</v>
      </c>
      <c r="M6" s="59" t="n">
        <f aca="false">IF($E6="","",$E6*参数配置!$B$9)</f>
        <v>1</v>
      </c>
      <c r="N6" s="59" t="n">
        <f aca="false">IF($E6="","",IF($E6&lt;=参数配置!$B$11,$E6*参数配置!$B$10,0))</f>
        <v>2</v>
      </c>
      <c r="O6" s="59" t="n">
        <f aca="false">IF($E6="","",$E6*$G6)</f>
        <v>2</v>
      </c>
      <c r="P6" s="59" t="n">
        <f aca="false">IF($E6="","",$E6*参数配置!$B$14)</f>
        <v>0.6</v>
      </c>
      <c r="Q6" s="59" t="n">
        <f aca="false">IF($E6="","",$E6*参数配置!$B$15)</f>
        <v>1</v>
      </c>
      <c r="R6" s="59" t="n">
        <f aca="false">IF($E6="","",$I6+$F6+$J6+$K6+$L6+$M6+$N6+$O6+$P6+$Q6)</f>
        <v>18.00054339001</v>
      </c>
      <c r="S6" s="59" t="n">
        <f aca="false">IF($E6="","",$E6-$R6)</f>
        <v>1.99945660999</v>
      </c>
      <c r="T6" s="60" t="n">
        <f aca="false">IF(OR($E6="",$E6=0),"",$S6/$E6)</f>
        <v>0.0999728304994999</v>
      </c>
      <c r="U6" s="61" t="n">
        <f aca="false">IF($E6="","",$S6*参数配置!$B$5)</f>
        <v>3.3984764</v>
      </c>
      <c r="V6" s="60" t="n">
        <f aca="false">IF($E6="","",1-$H6-参数配置!$B$7-参数配置!$B$9-$G6-参数配置!$B$14-参数配置!$B$15-IF($E6&lt;=参数配置!$B$11,参数配置!$B$10,0))</f>
        <v>0.5476</v>
      </c>
      <c r="W6" s="59" t="n">
        <f aca="false">IF($E6="","",$I6+$F6+$L6)</f>
        <v>8.95254339001</v>
      </c>
      <c r="X6" s="59" t="n">
        <f aca="false">IF($E6="","",IF($V6&gt;0,$W6/$V6,""))</f>
        <v>16.3486913623265</v>
      </c>
      <c r="Y6" s="59" t="n">
        <f aca="false">IF($E6="","",IF(($V6-参数配置!$B$13)&gt;0,$W6/($V6-参数配置!$B$13),""))</f>
        <v>25.7553031933544</v>
      </c>
      <c r="Z6" s="55" t="str">
        <f aca="false">IF($E6="","",IF(OR($C6="禁售",$C6="需资质"),"⛔"&amp;$C6&amp;"·不应进入利润表",IF($V6&lt;=0,"❗贡献率≤0·任何价都亏损",IF($E6&lt;$X6,"⛔低于保本价·亏损",IF($Y6="","⚠️目标不可达·需降本",IF($E6&lt;$Y6,"⚠️低于红线·未达目标利润率","✅达目标利润率"))))))</f>
        <v>⚠️低于红线·未达目标利润率</v>
      </c>
    </row>
    <row r="7" customFormat="false" ht="15" hidden="false" customHeight="false" outlineLevel="0" collapsed="false">
      <c r="A7" s="40" t="s">
        <v>115</v>
      </c>
      <c r="B7" s="49" t="str">
        <f aca="false">IFERROR(VLOOKUP($A7,SKU主表!$A:$M,2,0),"")</f>
        <v>折叠除湿盒 Kotak Penyahlembap</v>
      </c>
      <c r="C7" s="50" t="str">
        <f aca="false">IFERROR(VLOOKUP($A7,SKU主表!$A:$M,9,0),"")</f>
        <v>通过</v>
      </c>
      <c r="D7" s="50" t="n">
        <f aca="false">IFERROR(VLOOKUP($A7,SKU主表!$A:$M,5,0),"")</f>
        <v>12</v>
      </c>
      <c r="E7" s="57" t="n">
        <v>35</v>
      </c>
      <c r="F7" s="57" t="n">
        <v>6</v>
      </c>
      <c r="G7" s="58" t="n">
        <v>0.1</v>
      </c>
      <c r="H7" s="58" t="n">
        <f aca="false">参数配置!$B$6</f>
        <v>0.0846</v>
      </c>
      <c r="I7" s="59" t="n">
        <f aca="false">IF($D7="","",$D7/参数配置!$B$5)</f>
        <v>7.060069424016</v>
      </c>
      <c r="J7" s="59" t="n">
        <f aca="false">IF($E7="","",$E7*$H7)</f>
        <v>2.961</v>
      </c>
      <c r="K7" s="59" t="n">
        <f aca="false">IF($E7="","",$E7*参数配置!$B$7)</f>
        <v>1.323</v>
      </c>
      <c r="L7" s="59" t="n">
        <f aca="false">IF($E7="","",参数配置!$B$8)</f>
        <v>0.54</v>
      </c>
      <c r="M7" s="59" t="n">
        <f aca="false">IF($E7="","",$E7*参数配置!$B$9)</f>
        <v>1.75</v>
      </c>
      <c r="N7" s="59" t="n">
        <f aca="false">IF($E7="","",IF($E7&lt;=参数配置!$B$11,$E7*参数配置!$B$10,0))</f>
        <v>3.5</v>
      </c>
      <c r="O7" s="59" t="n">
        <f aca="false">IF($E7="","",$E7*$G7)</f>
        <v>3.5</v>
      </c>
      <c r="P7" s="59" t="n">
        <f aca="false">IF($E7="","",$E7*参数配置!$B$14)</f>
        <v>1.05</v>
      </c>
      <c r="Q7" s="59" t="n">
        <f aca="false">IF($E7="","",$E7*参数配置!$B$15)</f>
        <v>1.75</v>
      </c>
      <c r="R7" s="59" t="n">
        <f aca="false">IF($E7="","",$I7+$F7+$J7+$K7+$L7+$M7+$N7+$O7+$P7+$Q7)</f>
        <v>29.434069424016</v>
      </c>
      <c r="S7" s="59" t="n">
        <f aca="false">IF($E7="","",$E7-$R7)</f>
        <v>5.565930575984</v>
      </c>
      <c r="T7" s="60" t="n">
        <f aca="false">IF(OR($E7="",$E7=0),"",$S7/$E7)</f>
        <v>0.159026587885257</v>
      </c>
      <c r="U7" s="61" t="n">
        <f aca="false">IF($E7="","",$S7*参数配置!$B$5)</f>
        <v>9.4604122</v>
      </c>
      <c r="V7" s="60" t="n">
        <f aca="false">IF($E7="","",1-$H7-参数配置!$B$7-参数配置!$B$9-$G7-参数配置!$B$14-参数配置!$B$15-IF($E7&lt;=参数配置!$B$11,参数配置!$B$10,0))</f>
        <v>0.5476</v>
      </c>
      <c r="W7" s="59" t="n">
        <f aca="false">IF($E7="","",$I7+$F7+$L7)</f>
        <v>13.600069424016</v>
      </c>
      <c r="X7" s="59" t="n">
        <f aca="false">IF($E7="","",IF($V7&gt;0,$W7/$V7,""))</f>
        <v>24.8357732359679</v>
      </c>
      <c r="Y7" s="59" t="n">
        <f aca="false">IF($E7="","",IF(($V7-参数配置!$B$13)&gt;0,$W7/($V7-参数配置!$B$13),""))</f>
        <v>39.1256312543614</v>
      </c>
      <c r="Z7" s="55" t="str">
        <f aca="false">IF($E7="","",IF(OR($C7="禁售",$C7="需资质"),"⛔"&amp;$C7&amp;"·不应进入利润表",IF($V7&lt;=0,"❗贡献率≤0·任何价都亏损",IF($E7&lt;$X7,"⛔低于保本价·亏损",IF($Y7="","⚠️目标不可达·需降本",IF($E7&lt;$Y7,"⚠️低于红线·未达目标利润率","✅达目标利润率"))))))</f>
        <v>⚠️低于红线·未达目标利润率</v>
      </c>
    </row>
    <row r="8" customFormat="false" ht="15" hidden="false" customHeight="false" outlineLevel="0" collapsed="false">
      <c r="A8" s="40" t="s">
        <v>122</v>
      </c>
      <c r="B8" s="49" t="str">
        <f aca="false">IFERROR(VLOOKUP($A8,SKU主表!$A:$M,2,0),"")</f>
        <v>矫正近视框架眼镜</v>
      </c>
      <c r="C8" s="50" t="str">
        <f aca="false">IFERROR(VLOOKUP($A8,SKU主表!$A:$M,9,0),"")</f>
        <v>禁售</v>
      </c>
      <c r="D8" s="50" t="n">
        <f aca="false">IFERROR(VLOOKUP($A8,SKU主表!$A:$M,5,0),"")</f>
        <v>20</v>
      </c>
      <c r="E8" s="57" t="n">
        <v>30</v>
      </c>
      <c r="F8" s="57" t="n">
        <v>5</v>
      </c>
      <c r="G8" s="58" t="n">
        <v>0.1</v>
      </c>
      <c r="H8" s="58" t="n">
        <f aca="false">参数配置!$B$6</f>
        <v>0.0846</v>
      </c>
      <c r="I8" s="59" t="n">
        <f aca="false">IF($D8="","",$D8/参数配置!$B$5)</f>
        <v>11.76678237336</v>
      </c>
      <c r="J8" s="59" t="n">
        <f aca="false">IF($E8="","",$E8*$H8)</f>
        <v>2.538</v>
      </c>
      <c r="K8" s="59" t="n">
        <f aca="false">IF($E8="","",$E8*参数配置!$B$7)</f>
        <v>1.134</v>
      </c>
      <c r="L8" s="59" t="n">
        <f aca="false">IF($E8="","",参数配置!$B$8)</f>
        <v>0.54</v>
      </c>
      <c r="M8" s="59" t="n">
        <f aca="false">IF($E8="","",$E8*参数配置!$B$9)</f>
        <v>1.5</v>
      </c>
      <c r="N8" s="59" t="n">
        <f aca="false">IF($E8="","",IF($E8&lt;=参数配置!$B$11,$E8*参数配置!$B$10,0))</f>
        <v>3</v>
      </c>
      <c r="O8" s="59" t="n">
        <f aca="false">IF($E8="","",$E8*$G8)</f>
        <v>3</v>
      </c>
      <c r="P8" s="59" t="n">
        <f aca="false">IF($E8="","",$E8*参数配置!$B$14)</f>
        <v>0.9</v>
      </c>
      <c r="Q8" s="59" t="n">
        <f aca="false">IF($E8="","",$E8*参数配置!$B$15)</f>
        <v>1.5</v>
      </c>
      <c r="R8" s="59" t="n">
        <f aca="false">IF($E8="","",$I8+$F8+$J8+$K8+$L8+$M8+$N8+$O8+$P8+$Q8)</f>
        <v>30.87878237336</v>
      </c>
      <c r="S8" s="59" t="n">
        <f aca="false">IF($E8="","",$E8-$R8)</f>
        <v>-0.878782373360004</v>
      </c>
      <c r="T8" s="60" t="n">
        <f aca="false">IF(OR($E8="",$E8=0),"",$S8/$E8)</f>
        <v>-0.0292927457786668</v>
      </c>
      <c r="U8" s="61" t="n">
        <f aca="false">IF($E8="","",$S8*参数配置!$B$5)</f>
        <v>-1.4936664</v>
      </c>
      <c r="V8" s="60" t="n">
        <f aca="false">IF($E8="","",1-$H8-参数配置!$B$7-参数配置!$B$9-$G8-参数配置!$B$14-参数配置!$B$15-IF($E8&lt;=参数配置!$B$11,参数配置!$B$10,0))</f>
        <v>0.5476</v>
      </c>
      <c r="W8" s="59" t="n">
        <f aca="false">IF($E8="","",$I8+$F8+$L8)</f>
        <v>17.30678237336</v>
      </c>
      <c r="X8" s="59" t="n">
        <f aca="false">IF($E8="","",IF($V8&gt;0,$W8/$V8,""))</f>
        <v>31.6047888483565</v>
      </c>
      <c r="Y8" s="59" t="n">
        <f aca="false">IF($E8="","",IF(($V8-参数配置!$B$13)&gt;0,$W8/($V8-参数配置!$B$13),""))</f>
        <v>49.7893624089759</v>
      </c>
      <c r="Z8" s="55" t="str">
        <f aca="false">IF($E8="","",IF(OR($C8="禁售",$C8="需资质"),"⛔"&amp;$C8&amp;"·不应进入利润表",IF($V8&lt;=0,"❗贡献率≤0·任何价都亏损",IF($E8&lt;$X8,"⛔低于保本价·亏损",IF($Y8="","⚠️目标不可达·需降本",IF($E8&lt;$Y8,"⚠️低于红线·未达目标利润率","✅达目标利润率"))))))</f>
        <v>⛔禁售·不应进入利润表</v>
      </c>
    </row>
    <row r="9" customFormat="false" ht="15" hidden="false" customHeight="false" outlineLevel="0" collapsed="false">
      <c r="A9" s="44"/>
      <c r="B9" s="49" t="str">
        <f aca="false">IFERROR(VLOOKUP($A9,SKU主表!$A:$M,2,0),"")</f>
        <v/>
      </c>
      <c r="C9" s="50" t="str">
        <f aca="false">IFERROR(VLOOKUP($A9,SKU主表!$A:$M,9,0),"")</f>
        <v/>
      </c>
      <c r="D9" s="50" t="str">
        <f aca="false">IFERROR(VLOOKUP($A9,SKU主表!$A:$M,5,0),"")</f>
        <v/>
      </c>
      <c r="E9" s="62"/>
      <c r="F9" s="62"/>
      <c r="G9" s="63"/>
      <c r="H9" s="63" t="n">
        <f aca="false">参数配置!$B$6</f>
        <v>0.0846</v>
      </c>
      <c r="I9" s="59" t="str">
        <f aca="false">IF($D9="","",$D9/参数配置!$B$5)</f>
        <v/>
      </c>
      <c r="J9" s="59" t="str">
        <f aca="false">IF($E9="","",$E9*$H9)</f>
        <v/>
      </c>
      <c r="K9" s="59" t="str">
        <f aca="false">IF($E9="","",$E9*参数配置!$B$7)</f>
        <v/>
      </c>
      <c r="L9" s="59" t="str">
        <f aca="false">IF($E9="","",参数配置!$B$8)</f>
        <v/>
      </c>
      <c r="M9" s="59" t="str">
        <f aca="false">IF($E9="","",$E9*参数配置!$B$9)</f>
        <v/>
      </c>
      <c r="N9" s="59" t="str">
        <f aca="false">IF($E9="","",IF($E9&lt;=参数配置!$B$11,$E9*参数配置!$B$10,0))</f>
        <v/>
      </c>
      <c r="O9" s="59" t="str">
        <f aca="false">IF($E9="","",$E9*$G9)</f>
        <v/>
      </c>
      <c r="P9" s="59" t="str">
        <f aca="false">IF($E9="","",$E9*参数配置!$B$14)</f>
        <v/>
      </c>
      <c r="Q9" s="59" t="str">
        <f aca="false">IF($E9="","",$E9*参数配置!$B$15)</f>
        <v/>
      </c>
      <c r="R9" s="59" t="str">
        <f aca="false">IF($E9="","",$I9+$F9+$J9+$K9+$L9+$M9+$N9+$O9+$P9+$Q9)</f>
        <v/>
      </c>
      <c r="S9" s="59" t="str">
        <f aca="false">IF($E9="","",$E9-$R9)</f>
        <v/>
      </c>
      <c r="T9" s="60" t="str">
        <f aca="false">IF(OR($E9="",$E9=0),"",$S9/$E9)</f>
        <v/>
      </c>
      <c r="U9" s="61" t="str">
        <f aca="false">IF($E9="","",$S9*参数配置!$B$5)</f>
        <v/>
      </c>
      <c r="V9" s="60" t="str">
        <f aca="false">IF($E9="","",1-$H9-参数配置!$B$7-参数配置!$B$9-$G9-参数配置!$B$14-参数配置!$B$15-IF($E9&lt;=参数配置!$B$11,参数配置!$B$10,0))</f>
        <v/>
      </c>
      <c r="W9" s="59" t="str">
        <f aca="false">IF($E9="","",$I9+$F9+$L9)</f>
        <v/>
      </c>
      <c r="X9" s="59" t="str">
        <f aca="false">IF($E9="","",IF($V9&gt;0,$W9/$V9,""))</f>
        <v/>
      </c>
      <c r="Y9" s="59" t="str">
        <f aca="false">IF($E9="","",IF(($V9-参数配置!$B$13)&gt;0,$W9/($V9-参数配置!$B$13),""))</f>
        <v/>
      </c>
      <c r="Z9" s="55" t="str">
        <f aca="false">IF($E9="","",IF(OR($C9="禁售",$C9="需资质"),"⛔"&amp;$C9&amp;"·不应进入利润表",IF($V9&lt;=0,"❗贡献率≤0·任何价都亏损",IF($E9&lt;$X9,"⛔低于保本价·亏损",IF($Y9="","⚠️目标不可达·需降本",IF($E9&lt;$Y9,"⚠️低于红线·未达目标利润率","✅达目标利润率"))))))</f>
        <v/>
      </c>
    </row>
    <row r="10" customFormat="false" ht="15" hidden="false" customHeight="false" outlineLevel="0" collapsed="false">
      <c r="A10" s="44"/>
      <c r="B10" s="49" t="str">
        <f aca="false">IFERROR(VLOOKUP($A10,SKU主表!$A:$M,2,0),"")</f>
        <v/>
      </c>
      <c r="C10" s="50" t="str">
        <f aca="false">IFERROR(VLOOKUP($A10,SKU主表!$A:$M,9,0),"")</f>
        <v/>
      </c>
      <c r="D10" s="50" t="str">
        <f aca="false">IFERROR(VLOOKUP($A10,SKU主表!$A:$M,5,0),"")</f>
        <v/>
      </c>
      <c r="E10" s="62"/>
      <c r="F10" s="62"/>
      <c r="G10" s="63"/>
      <c r="H10" s="63" t="n">
        <f aca="false">参数配置!$B$6</f>
        <v>0.0846</v>
      </c>
      <c r="I10" s="59" t="str">
        <f aca="false">IF($D10="","",$D10/参数配置!$B$5)</f>
        <v/>
      </c>
      <c r="J10" s="59" t="str">
        <f aca="false">IF($E10="","",$E10*$H10)</f>
        <v/>
      </c>
      <c r="K10" s="59" t="str">
        <f aca="false">IF($E10="","",$E10*参数配置!$B$7)</f>
        <v/>
      </c>
      <c r="L10" s="59" t="str">
        <f aca="false">IF($E10="","",参数配置!$B$8)</f>
        <v/>
      </c>
      <c r="M10" s="59" t="str">
        <f aca="false">IF($E10="","",$E10*参数配置!$B$9)</f>
        <v/>
      </c>
      <c r="N10" s="59" t="str">
        <f aca="false">IF($E10="","",IF($E10&lt;=参数配置!$B$11,$E10*参数配置!$B$10,0))</f>
        <v/>
      </c>
      <c r="O10" s="59" t="str">
        <f aca="false">IF($E10="","",$E10*$G10)</f>
        <v/>
      </c>
      <c r="P10" s="59" t="str">
        <f aca="false">IF($E10="","",$E10*参数配置!$B$14)</f>
        <v/>
      </c>
      <c r="Q10" s="59" t="str">
        <f aca="false">IF($E10="","",$E10*参数配置!$B$15)</f>
        <v/>
      </c>
      <c r="R10" s="59" t="str">
        <f aca="false">IF($E10="","",$I10+$F10+$J10+$K10+$L10+$M10+$N10+$O10+$P10+$Q10)</f>
        <v/>
      </c>
      <c r="S10" s="59" t="str">
        <f aca="false">IF($E10="","",$E10-$R10)</f>
        <v/>
      </c>
      <c r="T10" s="60" t="str">
        <f aca="false">IF(OR($E10="",$E10=0),"",$S10/$E10)</f>
        <v/>
      </c>
      <c r="U10" s="61" t="str">
        <f aca="false">IF($E10="","",$S10*参数配置!$B$5)</f>
        <v/>
      </c>
      <c r="V10" s="60" t="str">
        <f aca="false">IF($E10="","",1-$H10-参数配置!$B$7-参数配置!$B$9-$G10-参数配置!$B$14-参数配置!$B$15-IF($E10&lt;=参数配置!$B$11,参数配置!$B$10,0))</f>
        <v/>
      </c>
      <c r="W10" s="59" t="str">
        <f aca="false">IF($E10="","",$I10+$F10+$L10)</f>
        <v/>
      </c>
      <c r="X10" s="59" t="str">
        <f aca="false">IF($E10="","",IF($V10&gt;0,$W10/$V10,""))</f>
        <v/>
      </c>
      <c r="Y10" s="59" t="str">
        <f aca="false">IF($E10="","",IF(($V10-参数配置!$B$13)&gt;0,$W10/($V10-参数配置!$B$13),""))</f>
        <v/>
      </c>
      <c r="Z10" s="55" t="str">
        <f aca="false">IF($E10="","",IF(OR($C10="禁售",$C10="需资质"),"⛔"&amp;$C10&amp;"·不应进入利润表",IF($V10&lt;=0,"❗贡献率≤0·任何价都亏损",IF($E10&lt;$X10,"⛔低于保本价·亏损",IF($Y10="","⚠️目标不可达·需降本",IF($E10&lt;$Y10,"⚠️低于红线·未达目标利润率","✅达目标利润率"))))))</f>
        <v/>
      </c>
    </row>
    <row r="11" customFormat="false" ht="15" hidden="false" customHeight="false" outlineLevel="0" collapsed="false">
      <c r="A11" s="44"/>
      <c r="B11" s="49" t="str">
        <f aca="false">IFERROR(VLOOKUP($A11,SKU主表!$A:$M,2,0),"")</f>
        <v/>
      </c>
      <c r="C11" s="50" t="str">
        <f aca="false">IFERROR(VLOOKUP($A11,SKU主表!$A:$M,9,0),"")</f>
        <v/>
      </c>
      <c r="D11" s="50" t="str">
        <f aca="false">IFERROR(VLOOKUP($A11,SKU主表!$A:$M,5,0),"")</f>
        <v/>
      </c>
      <c r="E11" s="62"/>
      <c r="F11" s="62"/>
      <c r="G11" s="63"/>
      <c r="H11" s="63" t="n">
        <f aca="false">参数配置!$B$6</f>
        <v>0.0846</v>
      </c>
      <c r="I11" s="59" t="str">
        <f aca="false">IF($D11="","",$D11/参数配置!$B$5)</f>
        <v/>
      </c>
      <c r="J11" s="59" t="str">
        <f aca="false">IF($E11="","",$E11*$H11)</f>
        <v/>
      </c>
      <c r="K11" s="59" t="str">
        <f aca="false">IF($E11="","",$E11*参数配置!$B$7)</f>
        <v/>
      </c>
      <c r="L11" s="59" t="str">
        <f aca="false">IF($E11="","",参数配置!$B$8)</f>
        <v/>
      </c>
      <c r="M11" s="59" t="str">
        <f aca="false">IF($E11="","",$E11*参数配置!$B$9)</f>
        <v/>
      </c>
      <c r="N11" s="59" t="str">
        <f aca="false">IF($E11="","",IF($E11&lt;=参数配置!$B$11,$E11*参数配置!$B$10,0))</f>
        <v/>
      </c>
      <c r="O11" s="59" t="str">
        <f aca="false">IF($E11="","",$E11*$G11)</f>
        <v/>
      </c>
      <c r="P11" s="59" t="str">
        <f aca="false">IF($E11="","",$E11*参数配置!$B$14)</f>
        <v/>
      </c>
      <c r="Q11" s="59" t="str">
        <f aca="false">IF($E11="","",$E11*参数配置!$B$15)</f>
        <v/>
      </c>
      <c r="R11" s="59" t="str">
        <f aca="false">IF($E11="","",$I11+$F11+$J11+$K11+$L11+$M11+$N11+$O11+$P11+$Q11)</f>
        <v/>
      </c>
      <c r="S11" s="59" t="str">
        <f aca="false">IF($E11="","",$E11-$R11)</f>
        <v/>
      </c>
      <c r="T11" s="60" t="str">
        <f aca="false">IF(OR($E11="",$E11=0),"",$S11/$E11)</f>
        <v/>
      </c>
      <c r="U11" s="61" t="str">
        <f aca="false">IF($E11="","",$S11*参数配置!$B$5)</f>
        <v/>
      </c>
      <c r="V11" s="60" t="str">
        <f aca="false">IF($E11="","",1-$H11-参数配置!$B$7-参数配置!$B$9-$G11-参数配置!$B$14-参数配置!$B$15-IF($E11&lt;=参数配置!$B$11,参数配置!$B$10,0))</f>
        <v/>
      </c>
      <c r="W11" s="59" t="str">
        <f aca="false">IF($E11="","",$I11+$F11+$L11)</f>
        <v/>
      </c>
      <c r="X11" s="59" t="str">
        <f aca="false">IF($E11="","",IF($V11&gt;0,$W11/$V11,""))</f>
        <v/>
      </c>
      <c r="Y11" s="59" t="str">
        <f aca="false">IF($E11="","",IF(($V11-参数配置!$B$13)&gt;0,$W11/($V11-参数配置!$B$13),""))</f>
        <v/>
      </c>
      <c r="Z11" s="55" t="str">
        <f aca="false">IF($E11="","",IF(OR($C11="禁售",$C11="需资质"),"⛔"&amp;$C11&amp;"·不应进入利润表",IF($V11&lt;=0,"❗贡献率≤0·任何价都亏损",IF($E11&lt;$X11,"⛔低于保本价·亏损",IF($Y11="","⚠️目标不可达·需降本",IF($E11&lt;$Y11,"⚠️低于红线·未达目标利润率","✅达目标利润率"))))))</f>
        <v/>
      </c>
    </row>
    <row r="12" customFormat="false" ht="15" hidden="false" customHeight="false" outlineLevel="0" collapsed="false">
      <c r="A12" s="44"/>
      <c r="B12" s="49" t="str">
        <f aca="false">IFERROR(VLOOKUP($A12,SKU主表!$A:$M,2,0),"")</f>
        <v/>
      </c>
      <c r="C12" s="50" t="str">
        <f aca="false">IFERROR(VLOOKUP($A12,SKU主表!$A:$M,9,0),"")</f>
        <v/>
      </c>
      <c r="D12" s="50" t="str">
        <f aca="false">IFERROR(VLOOKUP($A12,SKU主表!$A:$M,5,0),"")</f>
        <v/>
      </c>
      <c r="E12" s="62"/>
      <c r="F12" s="62"/>
      <c r="G12" s="63"/>
      <c r="H12" s="63" t="n">
        <f aca="false">参数配置!$B$6</f>
        <v>0.0846</v>
      </c>
      <c r="I12" s="59" t="str">
        <f aca="false">IF($D12="","",$D12/参数配置!$B$5)</f>
        <v/>
      </c>
      <c r="J12" s="59" t="str">
        <f aca="false">IF($E12="","",$E12*$H12)</f>
        <v/>
      </c>
      <c r="K12" s="59" t="str">
        <f aca="false">IF($E12="","",$E12*参数配置!$B$7)</f>
        <v/>
      </c>
      <c r="L12" s="59" t="str">
        <f aca="false">IF($E12="","",参数配置!$B$8)</f>
        <v/>
      </c>
      <c r="M12" s="59" t="str">
        <f aca="false">IF($E12="","",$E12*参数配置!$B$9)</f>
        <v/>
      </c>
      <c r="N12" s="59" t="str">
        <f aca="false">IF($E12="","",IF($E12&lt;=参数配置!$B$11,$E12*参数配置!$B$10,0))</f>
        <v/>
      </c>
      <c r="O12" s="59" t="str">
        <f aca="false">IF($E12="","",$E12*$G12)</f>
        <v/>
      </c>
      <c r="P12" s="59" t="str">
        <f aca="false">IF($E12="","",$E12*参数配置!$B$14)</f>
        <v/>
      </c>
      <c r="Q12" s="59" t="str">
        <f aca="false">IF($E12="","",$E12*参数配置!$B$15)</f>
        <v/>
      </c>
      <c r="R12" s="59" t="str">
        <f aca="false">IF($E12="","",$I12+$F12+$J12+$K12+$L12+$M12+$N12+$O12+$P12+$Q12)</f>
        <v/>
      </c>
      <c r="S12" s="59" t="str">
        <f aca="false">IF($E12="","",$E12-$R12)</f>
        <v/>
      </c>
      <c r="T12" s="60" t="str">
        <f aca="false">IF(OR($E12="",$E12=0),"",$S12/$E12)</f>
        <v/>
      </c>
      <c r="U12" s="61" t="str">
        <f aca="false">IF($E12="","",$S12*参数配置!$B$5)</f>
        <v/>
      </c>
      <c r="V12" s="60" t="str">
        <f aca="false">IF($E12="","",1-$H12-参数配置!$B$7-参数配置!$B$9-$G12-参数配置!$B$14-参数配置!$B$15-IF($E12&lt;=参数配置!$B$11,参数配置!$B$10,0))</f>
        <v/>
      </c>
      <c r="W12" s="59" t="str">
        <f aca="false">IF($E12="","",$I12+$F12+$L12)</f>
        <v/>
      </c>
      <c r="X12" s="59" t="str">
        <f aca="false">IF($E12="","",IF($V12&gt;0,$W12/$V12,""))</f>
        <v/>
      </c>
      <c r="Y12" s="59" t="str">
        <f aca="false">IF($E12="","",IF(($V12-参数配置!$B$13)&gt;0,$W12/($V12-参数配置!$B$13),""))</f>
        <v/>
      </c>
      <c r="Z12" s="55" t="str">
        <f aca="false">IF($E12="","",IF(OR($C12="禁售",$C12="需资质"),"⛔"&amp;$C12&amp;"·不应进入利润表",IF($V12&lt;=0,"❗贡献率≤0·任何价都亏损",IF($E12&lt;$X12,"⛔低于保本价·亏损",IF($Y12="","⚠️目标不可达·需降本",IF($E12&lt;$Y12,"⚠️低于红线·未达目标利润率","✅达目标利润率"))))))</f>
        <v/>
      </c>
    </row>
    <row r="13" customFormat="false" ht="15" hidden="false" customHeight="false" outlineLevel="0" collapsed="false">
      <c r="A13" s="44"/>
      <c r="B13" s="49" t="str">
        <f aca="false">IFERROR(VLOOKUP($A13,SKU主表!$A:$M,2,0),"")</f>
        <v/>
      </c>
      <c r="C13" s="50" t="str">
        <f aca="false">IFERROR(VLOOKUP($A13,SKU主表!$A:$M,9,0),"")</f>
        <v/>
      </c>
      <c r="D13" s="50" t="str">
        <f aca="false">IFERROR(VLOOKUP($A13,SKU主表!$A:$M,5,0),"")</f>
        <v/>
      </c>
      <c r="E13" s="62"/>
      <c r="F13" s="62"/>
      <c r="G13" s="63"/>
      <c r="H13" s="63" t="n">
        <f aca="false">参数配置!$B$6</f>
        <v>0.0846</v>
      </c>
      <c r="I13" s="59" t="str">
        <f aca="false">IF($D13="","",$D13/参数配置!$B$5)</f>
        <v/>
      </c>
      <c r="J13" s="59" t="str">
        <f aca="false">IF($E13="","",$E13*$H13)</f>
        <v/>
      </c>
      <c r="K13" s="59" t="str">
        <f aca="false">IF($E13="","",$E13*参数配置!$B$7)</f>
        <v/>
      </c>
      <c r="L13" s="59" t="str">
        <f aca="false">IF($E13="","",参数配置!$B$8)</f>
        <v/>
      </c>
      <c r="M13" s="59" t="str">
        <f aca="false">IF($E13="","",$E13*参数配置!$B$9)</f>
        <v/>
      </c>
      <c r="N13" s="59" t="str">
        <f aca="false">IF($E13="","",IF($E13&lt;=参数配置!$B$11,$E13*参数配置!$B$10,0))</f>
        <v/>
      </c>
      <c r="O13" s="59" t="str">
        <f aca="false">IF($E13="","",$E13*$G13)</f>
        <v/>
      </c>
      <c r="P13" s="59" t="str">
        <f aca="false">IF($E13="","",$E13*参数配置!$B$14)</f>
        <v/>
      </c>
      <c r="Q13" s="59" t="str">
        <f aca="false">IF($E13="","",$E13*参数配置!$B$15)</f>
        <v/>
      </c>
      <c r="R13" s="59" t="str">
        <f aca="false">IF($E13="","",$I13+$F13+$J13+$K13+$L13+$M13+$N13+$O13+$P13+$Q13)</f>
        <v/>
      </c>
      <c r="S13" s="59" t="str">
        <f aca="false">IF($E13="","",$E13-$R13)</f>
        <v/>
      </c>
      <c r="T13" s="60" t="str">
        <f aca="false">IF(OR($E13="",$E13=0),"",$S13/$E13)</f>
        <v/>
      </c>
      <c r="U13" s="61" t="str">
        <f aca="false">IF($E13="","",$S13*参数配置!$B$5)</f>
        <v/>
      </c>
      <c r="V13" s="60" t="str">
        <f aca="false">IF($E13="","",1-$H13-参数配置!$B$7-参数配置!$B$9-$G13-参数配置!$B$14-参数配置!$B$15-IF($E13&lt;=参数配置!$B$11,参数配置!$B$10,0))</f>
        <v/>
      </c>
      <c r="W13" s="59" t="str">
        <f aca="false">IF($E13="","",$I13+$F13+$L13)</f>
        <v/>
      </c>
      <c r="X13" s="59" t="str">
        <f aca="false">IF($E13="","",IF($V13&gt;0,$W13/$V13,""))</f>
        <v/>
      </c>
      <c r="Y13" s="59" t="str">
        <f aca="false">IF($E13="","",IF(($V13-参数配置!$B$13)&gt;0,$W13/($V13-参数配置!$B$13),""))</f>
        <v/>
      </c>
      <c r="Z13" s="55" t="str">
        <f aca="false">IF($E13="","",IF(OR($C13="禁售",$C13="需资质"),"⛔"&amp;$C13&amp;"·不应进入利润表",IF($V13&lt;=0,"❗贡献率≤0·任何价都亏损",IF($E13&lt;$X13,"⛔低于保本价·亏损",IF($Y13="","⚠️目标不可达·需降本",IF($E13&lt;$Y13,"⚠️低于红线·未达目标利润率","✅达目标利润率"))))))</f>
        <v/>
      </c>
    </row>
    <row r="14" customFormat="false" ht="15" hidden="false" customHeight="false" outlineLevel="0" collapsed="false">
      <c r="A14" s="44"/>
      <c r="B14" s="49" t="str">
        <f aca="false">IFERROR(VLOOKUP($A14,SKU主表!$A:$M,2,0),"")</f>
        <v/>
      </c>
      <c r="C14" s="50" t="str">
        <f aca="false">IFERROR(VLOOKUP($A14,SKU主表!$A:$M,9,0),"")</f>
        <v/>
      </c>
      <c r="D14" s="50" t="str">
        <f aca="false">IFERROR(VLOOKUP($A14,SKU主表!$A:$M,5,0),"")</f>
        <v/>
      </c>
      <c r="E14" s="62"/>
      <c r="F14" s="62"/>
      <c r="G14" s="63"/>
      <c r="H14" s="63" t="n">
        <f aca="false">参数配置!$B$6</f>
        <v>0.0846</v>
      </c>
      <c r="I14" s="59" t="str">
        <f aca="false">IF($D14="","",$D14/参数配置!$B$5)</f>
        <v/>
      </c>
      <c r="J14" s="59" t="str">
        <f aca="false">IF($E14="","",$E14*$H14)</f>
        <v/>
      </c>
      <c r="K14" s="59" t="str">
        <f aca="false">IF($E14="","",$E14*参数配置!$B$7)</f>
        <v/>
      </c>
      <c r="L14" s="59" t="str">
        <f aca="false">IF($E14="","",参数配置!$B$8)</f>
        <v/>
      </c>
      <c r="M14" s="59" t="str">
        <f aca="false">IF($E14="","",$E14*参数配置!$B$9)</f>
        <v/>
      </c>
      <c r="N14" s="59" t="str">
        <f aca="false">IF($E14="","",IF($E14&lt;=参数配置!$B$11,$E14*参数配置!$B$10,0))</f>
        <v/>
      </c>
      <c r="O14" s="59" t="str">
        <f aca="false">IF($E14="","",$E14*$G14)</f>
        <v/>
      </c>
      <c r="P14" s="59" t="str">
        <f aca="false">IF($E14="","",$E14*参数配置!$B$14)</f>
        <v/>
      </c>
      <c r="Q14" s="59" t="str">
        <f aca="false">IF($E14="","",$E14*参数配置!$B$15)</f>
        <v/>
      </c>
      <c r="R14" s="59" t="str">
        <f aca="false">IF($E14="","",$I14+$F14+$J14+$K14+$L14+$M14+$N14+$O14+$P14+$Q14)</f>
        <v/>
      </c>
      <c r="S14" s="59" t="str">
        <f aca="false">IF($E14="","",$E14-$R14)</f>
        <v/>
      </c>
      <c r="T14" s="60" t="str">
        <f aca="false">IF(OR($E14="",$E14=0),"",$S14/$E14)</f>
        <v/>
      </c>
      <c r="U14" s="61" t="str">
        <f aca="false">IF($E14="","",$S14*参数配置!$B$5)</f>
        <v/>
      </c>
      <c r="V14" s="60" t="str">
        <f aca="false">IF($E14="","",1-$H14-参数配置!$B$7-参数配置!$B$9-$G14-参数配置!$B$14-参数配置!$B$15-IF($E14&lt;=参数配置!$B$11,参数配置!$B$10,0))</f>
        <v/>
      </c>
      <c r="W14" s="59" t="str">
        <f aca="false">IF($E14="","",$I14+$F14+$L14)</f>
        <v/>
      </c>
      <c r="X14" s="59" t="str">
        <f aca="false">IF($E14="","",IF($V14&gt;0,$W14/$V14,""))</f>
        <v/>
      </c>
      <c r="Y14" s="59" t="str">
        <f aca="false">IF($E14="","",IF(($V14-参数配置!$B$13)&gt;0,$W14/($V14-参数配置!$B$13),""))</f>
        <v/>
      </c>
      <c r="Z14" s="55" t="str">
        <f aca="false">IF($E14="","",IF(OR($C14="禁售",$C14="需资质"),"⛔"&amp;$C14&amp;"·不应进入利润表",IF($V14&lt;=0,"❗贡献率≤0·任何价都亏损",IF($E14&lt;$X14,"⛔低于保本价·亏损",IF($Y14="","⚠️目标不可达·需降本",IF($E14&lt;$Y14,"⚠️低于红线·未达目标利润率","✅达目标利润率"))))))</f>
        <v/>
      </c>
    </row>
    <row r="15" customFormat="false" ht="15" hidden="false" customHeight="false" outlineLevel="0" collapsed="false">
      <c r="A15" s="44"/>
      <c r="B15" s="49" t="str">
        <f aca="false">IFERROR(VLOOKUP($A15,SKU主表!$A:$M,2,0),"")</f>
        <v/>
      </c>
      <c r="C15" s="50" t="str">
        <f aca="false">IFERROR(VLOOKUP($A15,SKU主表!$A:$M,9,0),"")</f>
        <v/>
      </c>
      <c r="D15" s="50" t="str">
        <f aca="false">IFERROR(VLOOKUP($A15,SKU主表!$A:$M,5,0),"")</f>
        <v/>
      </c>
      <c r="E15" s="62"/>
      <c r="F15" s="62"/>
      <c r="G15" s="63"/>
      <c r="H15" s="63" t="n">
        <f aca="false">参数配置!$B$6</f>
        <v>0.0846</v>
      </c>
      <c r="I15" s="59" t="str">
        <f aca="false">IF($D15="","",$D15/参数配置!$B$5)</f>
        <v/>
      </c>
      <c r="J15" s="59" t="str">
        <f aca="false">IF($E15="","",$E15*$H15)</f>
        <v/>
      </c>
      <c r="K15" s="59" t="str">
        <f aca="false">IF($E15="","",$E15*参数配置!$B$7)</f>
        <v/>
      </c>
      <c r="L15" s="59" t="str">
        <f aca="false">IF($E15="","",参数配置!$B$8)</f>
        <v/>
      </c>
      <c r="M15" s="59" t="str">
        <f aca="false">IF($E15="","",$E15*参数配置!$B$9)</f>
        <v/>
      </c>
      <c r="N15" s="59" t="str">
        <f aca="false">IF($E15="","",IF($E15&lt;=参数配置!$B$11,$E15*参数配置!$B$10,0))</f>
        <v/>
      </c>
      <c r="O15" s="59" t="str">
        <f aca="false">IF($E15="","",$E15*$G15)</f>
        <v/>
      </c>
      <c r="P15" s="59" t="str">
        <f aca="false">IF($E15="","",$E15*参数配置!$B$14)</f>
        <v/>
      </c>
      <c r="Q15" s="59" t="str">
        <f aca="false">IF($E15="","",$E15*参数配置!$B$15)</f>
        <v/>
      </c>
      <c r="R15" s="59" t="str">
        <f aca="false">IF($E15="","",$I15+$F15+$J15+$K15+$L15+$M15+$N15+$O15+$P15+$Q15)</f>
        <v/>
      </c>
      <c r="S15" s="59" t="str">
        <f aca="false">IF($E15="","",$E15-$R15)</f>
        <v/>
      </c>
      <c r="T15" s="60" t="str">
        <f aca="false">IF(OR($E15="",$E15=0),"",$S15/$E15)</f>
        <v/>
      </c>
      <c r="U15" s="61" t="str">
        <f aca="false">IF($E15="","",$S15*参数配置!$B$5)</f>
        <v/>
      </c>
      <c r="V15" s="60" t="str">
        <f aca="false">IF($E15="","",1-$H15-参数配置!$B$7-参数配置!$B$9-$G15-参数配置!$B$14-参数配置!$B$15-IF($E15&lt;=参数配置!$B$11,参数配置!$B$10,0))</f>
        <v/>
      </c>
      <c r="W15" s="59" t="str">
        <f aca="false">IF($E15="","",$I15+$F15+$L15)</f>
        <v/>
      </c>
      <c r="X15" s="59" t="str">
        <f aca="false">IF($E15="","",IF($V15&gt;0,$W15/$V15,""))</f>
        <v/>
      </c>
      <c r="Y15" s="59" t="str">
        <f aca="false">IF($E15="","",IF(($V15-参数配置!$B$13)&gt;0,$W15/($V15-参数配置!$B$13),""))</f>
        <v/>
      </c>
      <c r="Z15" s="55" t="str">
        <f aca="false">IF($E15="","",IF(OR($C15="禁售",$C15="需资质"),"⛔"&amp;$C15&amp;"·不应进入利润表",IF($V15&lt;=0,"❗贡献率≤0·任何价都亏损",IF($E15&lt;$X15,"⛔低于保本价·亏损",IF($Y15="","⚠️目标不可达·需降本",IF($E15&lt;$Y15,"⚠️低于红线·未达目标利润率","✅达目标利润率"))))))</f>
        <v/>
      </c>
    </row>
    <row r="16" customFormat="false" ht="15" hidden="false" customHeight="false" outlineLevel="0" collapsed="false">
      <c r="A16" s="44"/>
      <c r="B16" s="49" t="str">
        <f aca="false">IFERROR(VLOOKUP($A16,SKU主表!$A:$M,2,0),"")</f>
        <v/>
      </c>
      <c r="C16" s="50" t="str">
        <f aca="false">IFERROR(VLOOKUP($A16,SKU主表!$A:$M,9,0),"")</f>
        <v/>
      </c>
      <c r="D16" s="50" t="str">
        <f aca="false">IFERROR(VLOOKUP($A16,SKU主表!$A:$M,5,0),"")</f>
        <v/>
      </c>
      <c r="E16" s="62"/>
      <c r="F16" s="62"/>
      <c r="G16" s="63"/>
      <c r="H16" s="63" t="n">
        <f aca="false">参数配置!$B$6</f>
        <v>0.0846</v>
      </c>
      <c r="I16" s="59" t="str">
        <f aca="false">IF($D16="","",$D16/参数配置!$B$5)</f>
        <v/>
      </c>
      <c r="J16" s="59" t="str">
        <f aca="false">IF($E16="","",$E16*$H16)</f>
        <v/>
      </c>
      <c r="K16" s="59" t="str">
        <f aca="false">IF($E16="","",$E16*参数配置!$B$7)</f>
        <v/>
      </c>
      <c r="L16" s="59" t="str">
        <f aca="false">IF($E16="","",参数配置!$B$8)</f>
        <v/>
      </c>
      <c r="M16" s="59" t="str">
        <f aca="false">IF($E16="","",$E16*参数配置!$B$9)</f>
        <v/>
      </c>
      <c r="N16" s="59" t="str">
        <f aca="false">IF($E16="","",IF($E16&lt;=参数配置!$B$11,$E16*参数配置!$B$10,0))</f>
        <v/>
      </c>
      <c r="O16" s="59" t="str">
        <f aca="false">IF($E16="","",$E16*$G16)</f>
        <v/>
      </c>
      <c r="P16" s="59" t="str">
        <f aca="false">IF($E16="","",$E16*参数配置!$B$14)</f>
        <v/>
      </c>
      <c r="Q16" s="59" t="str">
        <f aca="false">IF($E16="","",$E16*参数配置!$B$15)</f>
        <v/>
      </c>
      <c r="R16" s="59" t="str">
        <f aca="false">IF($E16="","",$I16+$F16+$J16+$K16+$L16+$M16+$N16+$O16+$P16+$Q16)</f>
        <v/>
      </c>
      <c r="S16" s="59" t="str">
        <f aca="false">IF($E16="","",$E16-$R16)</f>
        <v/>
      </c>
      <c r="T16" s="60" t="str">
        <f aca="false">IF(OR($E16="",$E16=0),"",$S16/$E16)</f>
        <v/>
      </c>
      <c r="U16" s="61" t="str">
        <f aca="false">IF($E16="","",$S16*参数配置!$B$5)</f>
        <v/>
      </c>
      <c r="V16" s="60" t="str">
        <f aca="false">IF($E16="","",1-$H16-参数配置!$B$7-参数配置!$B$9-$G16-参数配置!$B$14-参数配置!$B$15-IF($E16&lt;=参数配置!$B$11,参数配置!$B$10,0))</f>
        <v/>
      </c>
      <c r="W16" s="59" t="str">
        <f aca="false">IF($E16="","",$I16+$F16+$L16)</f>
        <v/>
      </c>
      <c r="X16" s="59" t="str">
        <f aca="false">IF($E16="","",IF($V16&gt;0,$W16/$V16,""))</f>
        <v/>
      </c>
      <c r="Y16" s="59" t="str">
        <f aca="false">IF($E16="","",IF(($V16-参数配置!$B$13)&gt;0,$W16/($V16-参数配置!$B$13),""))</f>
        <v/>
      </c>
      <c r="Z16" s="55" t="str">
        <f aca="false">IF($E16="","",IF(OR($C16="禁售",$C16="需资质"),"⛔"&amp;$C16&amp;"·不应进入利润表",IF($V16&lt;=0,"❗贡献率≤0·任何价都亏损",IF($E16&lt;$X16,"⛔低于保本价·亏损",IF($Y16="","⚠️目标不可达·需降本",IF($E16&lt;$Y16,"⚠️低于红线·未达目标利润率","✅达目标利润率"))))))</f>
        <v/>
      </c>
    </row>
    <row r="17" customFormat="false" ht="15" hidden="false" customHeight="false" outlineLevel="0" collapsed="false">
      <c r="A17" s="44"/>
      <c r="B17" s="49" t="str">
        <f aca="false">IFERROR(VLOOKUP($A17,SKU主表!$A:$M,2,0),"")</f>
        <v/>
      </c>
      <c r="C17" s="50" t="str">
        <f aca="false">IFERROR(VLOOKUP($A17,SKU主表!$A:$M,9,0),"")</f>
        <v/>
      </c>
      <c r="D17" s="50" t="str">
        <f aca="false">IFERROR(VLOOKUP($A17,SKU主表!$A:$M,5,0),"")</f>
        <v/>
      </c>
      <c r="E17" s="62"/>
      <c r="F17" s="62"/>
      <c r="G17" s="63"/>
      <c r="H17" s="63" t="n">
        <f aca="false">参数配置!$B$6</f>
        <v>0.0846</v>
      </c>
      <c r="I17" s="59" t="str">
        <f aca="false">IF($D17="","",$D17/参数配置!$B$5)</f>
        <v/>
      </c>
      <c r="J17" s="59" t="str">
        <f aca="false">IF($E17="","",$E17*$H17)</f>
        <v/>
      </c>
      <c r="K17" s="59" t="str">
        <f aca="false">IF($E17="","",$E17*参数配置!$B$7)</f>
        <v/>
      </c>
      <c r="L17" s="59" t="str">
        <f aca="false">IF($E17="","",参数配置!$B$8)</f>
        <v/>
      </c>
      <c r="M17" s="59" t="str">
        <f aca="false">IF($E17="","",$E17*参数配置!$B$9)</f>
        <v/>
      </c>
      <c r="N17" s="59" t="str">
        <f aca="false">IF($E17="","",IF($E17&lt;=参数配置!$B$11,$E17*参数配置!$B$10,0))</f>
        <v/>
      </c>
      <c r="O17" s="59" t="str">
        <f aca="false">IF($E17="","",$E17*$G17)</f>
        <v/>
      </c>
      <c r="P17" s="59" t="str">
        <f aca="false">IF($E17="","",$E17*参数配置!$B$14)</f>
        <v/>
      </c>
      <c r="Q17" s="59" t="str">
        <f aca="false">IF($E17="","",$E17*参数配置!$B$15)</f>
        <v/>
      </c>
      <c r="R17" s="59" t="str">
        <f aca="false">IF($E17="","",$I17+$F17+$J17+$K17+$L17+$M17+$N17+$O17+$P17+$Q17)</f>
        <v/>
      </c>
      <c r="S17" s="59" t="str">
        <f aca="false">IF($E17="","",$E17-$R17)</f>
        <v/>
      </c>
      <c r="T17" s="60" t="str">
        <f aca="false">IF(OR($E17="",$E17=0),"",$S17/$E17)</f>
        <v/>
      </c>
      <c r="U17" s="61" t="str">
        <f aca="false">IF($E17="","",$S17*参数配置!$B$5)</f>
        <v/>
      </c>
      <c r="V17" s="60" t="str">
        <f aca="false">IF($E17="","",1-$H17-参数配置!$B$7-参数配置!$B$9-$G17-参数配置!$B$14-参数配置!$B$15-IF($E17&lt;=参数配置!$B$11,参数配置!$B$10,0))</f>
        <v/>
      </c>
      <c r="W17" s="59" t="str">
        <f aca="false">IF($E17="","",$I17+$F17+$L17)</f>
        <v/>
      </c>
      <c r="X17" s="59" t="str">
        <f aca="false">IF($E17="","",IF($V17&gt;0,$W17/$V17,""))</f>
        <v/>
      </c>
      <c r="Y17" s="59" t="str">
        <f aca="false">IF($E17="","",IF(($V17-参数配置!$B$13)&gt;0,$W17/($V17-参数配置!$B$13),""))</f>
        <v/>
      </c>
      <c r="Z17" s="55" t="str">
        <f aca="false">IF($E17="","",IF(OR($C17="禁售",$C17="需资质"),"⛔"&amp;$C17&amp;"·不应进入利润表",IF($V17&lt;=0,"❗贡献率≤0·任何价都亏损",IF($E17&lt;$X17,"⛔低于保本价·亏损",IF($Y17="","⚠️目标不可达·需降本",IF($E17&lt;$Y17,"⚠️低于红线·未达目标利润率","✅达目标利润率"))))))</f>
        <v/>
      </c>
    </row>
    <row r="18" customFormat="false" ht="15" hidden="false" customHeight="false" outlineLevel="0" collapsed="false">
      <c r="A18" s="44"/>
      <c r="B18" s="49" t="str">
        <f aca="false">IFERROR(VLOOKUP($A18,SKU主表!$A:$M,2,0),"")</f>
        <v/>
      </c>
      <c r="C18" s="50" t="str">
        <f aca="false">IFERROR(VLOOKUP($A18,SKU主表!$A:$M,9,0),"")</f>
        <v/>
      </c>
      <c r="D18" s="50" t="str">
        <f aca="false">IFERROR(VLOOKUP($A18,SKU主表!$A:$M,5,0),"")</f>
        <v/>
      </c>
      <c r="E18" s="62"/>
      <c r="F18" s="62"/>
      <c r="G18" s="63"/>
      <c r="H18" s="63" t="n">
        <f aca="false">参数配置!$B$6</f>
        <v>0.0846</v>
      </c>
      <c r="I18" s="59" t="str">
        <f aca="false">IF($D18="","",$D18/参数配置!$B$5)</f>
        <v/>
      </c>
      <c r="J18" s="59" t="str">
        <f aca="false">IF($E18="","",$E18*$H18)</f>
        <v/>
      </c>
      <c r="K18" s="59" t="str">
        <f aca="false">IF($E18="","",$E18*参数配置!$B$7)</f>
        <v/>
      </c>
      <c r="L18" s="59" t="str">
        <f aca="false">IF($E18="","",参数配置!$B$8)</f>
        <v/>
      </c>
      <c r="M18" s="59" t="str">
        <f aca="false">IF($E18="","",$E18*参数配置!$B$9)</f>
        <v/>
      </c>
      <c r="N18" s="59" t="str">
        <f aca="false">IF($E18="","",IF($E18&lt;=参数配置!$B$11,$E18*参数配置!$B$10,0))</f>
        <v/>
      </c>
      <c r="O18" s="59" t="str">
        <f aca="false">IF($E18="","",$E18*$G18)</f>
        <v/>
      </c>
      <c r="P18" s="59" t="str">
        <f aca="false">IF($E18="","",$E18*参数配置!$B$14)</f>
        <v/>
      </c>
      <c r="Q18" s="59" t="str">
        <f aca="false">IF($E18="","",$E18*参数配置!$B$15)</f>
        <v/>
      </c>
      <c r="R18" s="59" t="str">
        <f aca="false">IF($E18="","",$I18+$F18+$J18+$K18+$L18+$M18+$N18+$O18+$P18+$Q18)</f>
        <v/>
      </c>
      <c r="S18" s="59" t="str">
        <f aca="false">IF($E18="","",$E18-$R18)</f>
        <v/>
      </c>
      <c r="T18" s="60" t="str">
        <f aca="false">IF(OR($E18="",$E18=0),"",$S18/$E18)</f>
        <v/>
      </c>
      <c r="U18" s="61" t="str">
        <f aca="false">IF($E18="","",$S18*参数配置!$B$5)</f>
        <v/>
      </c>
      <c r="V18" s="60" t="str">
        <f aca="false">IF($E18="","",1-$H18-参数配置!$B$7-参数配置!$B$9-$G18-参数配置!$B$14-参数配置!$B$15-IF($E18&lt;=参数配置!$B$11,参数配置!$B$10,0))</f>
        <v/>
      </c>
      <c r="W18" s="59" t="str">
        <f aca="false">IF($E18="","",$I18+$F18+$L18)</f>
        <v/>
      </c>
      <c r="X18" s="59" t="str">
        <f aca="false">IF($E18="","",IF($V18&gt;0,$W18/$V18,""))</f>
        <v/>
      </c>
      <c r="Y18" s="59" t="str">
        <f aca="false">IF($E18="","",IF(($V18-参数配置!$B$13)&gt;0,$W18/($V18-参数配置!$B$13),""))</f>
        <v/>
      </c>
      <c r="Z18" s="55" t="str">
        <f aca="false">IF($E18="","",IF(OR($C18="禁售",$C18="需资质"),"⛔"&amp;$C18&amp;"·不应进入利润表",IF($V18&lt;=0,"❗贡献率≤0·任何价都亏损",IF($E18&lt;$X18,"⛔低于保本价·亏损",IF($Y18="","⚠️目标不可达·需降本",IF($E18&lt;$Y18,"⚠️低于红线·未达目标利润率","✅达目标利润率"))))))</f>
        <v/>
      </c>
    </row>
    <row r="19" customFormat="false" ht="15" hidden="false" customHeight="false" outlineLevel="0" collapsed="false">
      <c r="A19" s="44"/>
      <c r="B19" s="49" t="str">
        <f aca="false">IFERROR(VLOOKUP($A19,SKU主表!$A:$M,2,0),"")</f>
        <v/>
      </c>
      <c r="C19" s="50" t="str">
        <f aca="false">IFERROR(VLOOKUP($A19,SKU主表!$A:$M,9,0),"")</f>
        <v/>
      </c>
      <c r="D19" s="50" t="str">
        <f aca="false">IFERROR(VLOOKUP($A19,SKU主表!$A:$M,5,0),"")</f>
        <v/>
      </c>
      <c r="E19" s="62"/>
      <c r="F19" s="62"/>
      <c r="G19" s="63"/>
      <c r="H19" s="63" t="n">
        <f aca="false">参数配置!$B$6</f>
        <v>0.0846</v>
      </c>
      <c r="I19" s="59" t="str">
        <f aca="false">IF($D19="","",$D19/参数配置!$B$5)</f>
        <v/>
      </c>
      <c r="J19" s="59" t="str">
        <f aca="false">IF($E19="","",$E19*$H19)</f>
        <v/>
      </c>
      <c r="K19" s="59" t="str">
        <f aca="false">IF($E19="","",$E19*参数配置!$B$7)</f>
        <v/>
      </c>
      <c r="L19" s="59" t="str">
        <f aca="false">IF($E19="","",参数配置!$B$8)</f>
        <v/>
      </c>
      <c r="M19" s="59" t="str">
        <f aca="false">IF($E19="","",$E19*参数配置!$B$9)</f>
        <v/>
      </c>
      <c r="N19" s="59" t="str">
        <f aca="false">IF($E19="","",IF($E19&lt;=参数配置!$B$11,$E19*参数配置!$B$10,0))</f>
        <v/>
      </c>
      <c r="O19" s="59" t="str">
        <f aca="false">IF($E19="","",$E19*$G19)</f>
        <v/>
      </c>
      <c r="P19" s="59" t="str">
        <f aca="false">IF($E19="","",$E19*参数配置!$B$14)</f>
        <v/>
      </c>
      <c r="Q19" s="59" t="str">
        <f aca="false">IF($E19="","",$E19*参数配置!$B$15)</f>
        <v/>
      </c>
      <c r="R19" s="59" t="str">
        <f aca="false">IF($E19="","",$I19+$F19+$J19+$K19+$L19+$M19+$N19+$O19+$P19+$Q19)</f>
        <v/>
      </c>
      <c r="S19" s="59" t="str">
        <f aca="false">IF($E19="","",$E19-$R19)</f>
        <v/>
      </c>
      <c r="T19" s="60" t="str">
        <f aca="false">IF(OR($E19="",$E19=0),"",$S19/$E19)</f>
        <v/>
      </c>
      <c r="U19" s="61" t="str">
        <f aca="false">IF($E19="","",$S19*参数配置!$B$5)</f>
        <v/>
      </c>
      <c r="V19" s="60" t="str">
        <f aca="false">IF($E19="","",1-$H19-参数配置!$B$7-参数配置!$B$9-$G19-参数配置!$B$14-参数配置!$B$15-IF($E19&lt;=参数配置!$B$11,参数配置!$B$10,0))</f>
        <v/>
      </c>
      <c r="W19" s="59" t="str">
        <f aca="false">IF($E19="","",$I19+$F19+$L19)</f>
        <v/>
      </c>
      <c r="X19" s="59" t="str">
        <f aca="false">IF($E19="","",IF($V19&gt;0,$W19/$V19,""))</f>
        <v/>
      </c>
      <c r="Y19" s="59" t="str">
        <f aca="false">IF($E19="","",IF(($V19-参数配置!$B$13)&gt;0,$W19/($V19-参数配置!$B$13),""))</f>
        <v/>
      </c>
      <c r="Z19" s="55" t="str">
        <f aca="false">IF($E19="","",IF(OR($C19="禁售",$C19="需资质"),"⛔"&amp;$C19&amp;"·不应进入利润表",IF($V19&lt;=0,"❗贡献率≤0·任何价都亏损",IF($E19&lt;$X19,"⛔低于保本价·亏损",IF($Y19="","⚠️目标不可达·需降本",IF($E19&lt;$Y19,"⚠️低于红线·未达目标利润率","✅达目标利润率"))))))</f>
        <v/>
      </c>
    </row>
    <row r="20" customFormat="false" ht="15" hidden="false" customHeight="false" outlineLevel="0" collapsed="false">
      <c r="A20" s="44"/>
      <c r="B20" s="49" t="str">
        <f aca="false">IFERROR(VLOOKUP($A20,SKU主表!$A:$M,2,0),"")</f>
        <v/>
      </c>
      <c r="C20" s="50" t="str">
        <f aca="false">IFERROR(VLOOKUP($A20,SKU主表!$A:$M,9,0),"")</f>
        <v/>
      </c>
      <c r="D20" s="50" t="str">
        <f aca="false">IFERROR(VLOOKUP($A20,SKU主表!$A:$M,5,0),"")</f>
        <v/>
      </c>
      <c r="E20" s="62"/>
      <c r="F20" s="62"/>
      <c r="G20" s="63"/>
      <c r="H20" s="63" t="n">
        <f aca="false">参数配置!$B$6</f>
        <v>0.0846</v>
      </c>
      <c r="I20" s="59" t="str">
        <f aca="false">IF($D20="","",$D20/参数配置!$B$5)</f>
        <v/>
      </c>
      <c r="J20" s="59" t="str">
        <f aca="false">IF($E20="","",$E20*$H20)</f>
        <v/>
      </c>
      <c r="K20" s="59" t="str">
        <f aca="false">IF($E20="","",$E20*参数配置!$B$7)</f>
        <v/>
      </c>
      <c r="L20" s="59" t="str">
        <f aca="false">IF($E20="","",参数配置!$B$8)</f>
        <v/>
      </c>
      <c r="M20" s="59" t="str">
        <f aca="false">IF($E20="","",$E20*参数配置!$B$9)</f>
        <v/>
      </c>
      <c r="N20" s="59" t="str">
        <f aca="false">IF($E20="","",IF($E20&lt;=参数配置!$B$11,$E20*参数配置!$B$10,0))</f>
        <v/>
      </c>
      <c r="O20" s="59" t="str">
        <f aca="false">IF($E20="","",$E20*$G20)</f>
        <v/>
      </c>
      <c r="P20" s="59" t="str">
        <f aca="false">IF($E20="","",$E20*参数配置!$B$14)</f>
        <v/>
      </c>
      <c r="Q20" s="59" t="str">
        <f aca="false">IF($E20="","",$E20*参数配置!$B$15)</f>
        <v/>
      </c>
      <c r="R20" s="59" t="str">
        <f aca="false">IF($E20="","",$I20+$F20+$J20+$K20+$L20+$M20+$N20+$O20+$P20+$Q20)</f>
        <v/>
      </c>
      <c r="S20" s="59" t="str">
        <f aca="false">IF($E20="","",$E20-$R20)</f>
        <v/>
      </c>
      <c r="T20" s="60" t="str">
        <f aca="false">IF(OR($E20="",$E20=0),"",$S20/$E20)</f>
        <v/>
      </c>
      <c r="U20" s="61" t="str">
        <f aca="false">IF($E20="","",$S20*参数配置!$B$5)</f>
        <v/>
      </c>
      <c r="V20" s="60" t="str">
        <f aca="false">IF($E20="","",1-$H20-参数配置!$B$7-参数配置!$B$9-$G20-参数配置!$B$14-参数配置!$B$15-IF($E20&lt;=参数配置!$B$11,参数配置!$B$10,0))</f>
        <v/>
      </c>
      <c r="W20" s="59" t="str">
        <f aca="false">IF($E20="","",$I20+$F20+$L20)</f>
        <v/>
      </c>
      <c r="X20" s="59" t="str">
        <f aca="false">IF($E20="","",IF($V20&gt;0,$W20/$V20,""))</f>
        <v/>
      </c>
      <c r="Y20" s="59" t="str">
        <f aca="false">IF($E20="","",IF(($V20-参数配置!$B$13)&gt;0,$W20/($V20-参数配置!$B$13),""))</f>
        <v/>
      </c>
      <c r="Z20" s="55" t="str">
        <f aca="false">IF($E20="","",IF(OR($C20="禁售",$C20="需资质"),"⛔"&amp;$C20&amp;"·不应进入利润表",IF($V20&lt;=0,"❗贡献率≤0·任何价都亏损",IF($E20&lt;$X20,"⛔低于保本价·亏损",IF($Y20="","⚠️目标不可达·需降本",IF($E20&lt;$Y20,"⚠️低于红线·未达目标利润率","✅达目标利润率"))))))</f>
        <v/>
      </c>
    </row>
    <row r="21" customFormat="false" ht="15" hidden="false" customHeight="false" outlineLevel="0" collapsed="false">
      <c r="A21" s="44"/>
      <c r="B21" s="49" t="str">
        <f aca="false">IFERROR(VLOOKUP($A21,SKU主表!$A:$M,2,0),"")</f>
        <v/>
      </c>
      <c r="C21" s="50" t="str">
        <f aca="false">IFERROR(VLOOKUP($A21,SKU主表!$A:$M,9,0),"")</f>
        <v/>
      </c>
      <c r="D21" s="50" t="str">
        <f aca="false">IFERROR(VLOOKUP($A21,SKU主表!$A:$M,5,0),"")</f>
        <v/>
      </c>
      <c r="E21" s="62"/>
      <c r="F21" s="62"/>
      <c r="G21" s="63"/>
      <c r="H21" s="63" t="n">
        <f aca="false">参数配置!$B$6</f>
        <v>0.0846</v>
      </c>
      <c r="I21" s="59" t="str">
        <f aca="false">IF($D21="","",$D21/参数配置!$B$5)</f>
        <v/>
      </c>
      <c r="J21" s="59" t="str">
        <f aca="false">IF($E21="","",$E21*$H21)</f>
        <v/>
      </c>
      <c r="K21" s="59" t="str">
        <f aca="false">IF($E21="","",$E21*参数配置!$B$7)</f>
        <v/>
      </c>
      <c r="L21" s="59" t="str">
        <f aca="false">IF($E21="","",参数配置!$B$8)</f>
        <v/>
      </c>
      <c r="M21" s="59" t="str">
        <f aca="false">IF($E21="","",$E21*参数配置!$B$9)</f>
        <v/>
      </c>
      <c r="N21" s="59" t="str">
        <f aca="false">IF($E21="","",IF($E21&lt;=参数配置!$B$11,$E21*参数配置!$B$10,0))</f>
        <v/>
      </c>
      <c r="O21" s="59" t="str">
        <f aca="false">IF($E21="","",$E21*$G21)</f>
        <v/>
      </c>
      <c r="P21" s="59" t="str">
        <f aca="false">IF($E21="","",$E21*参数配置!$B$14)</f>
        <v/>
      </c>
      <c r="Q21" s="59" t="str">
        <f aca="false">IF($E21="","",$E21*参数配置!$B$15)</f>
        <v/>
      </c>
      <c r="R21" s="59" t="str">
        <f aca="false">IF($E21="","",$I21+$F21+$J21+$K21+$L21+$M21+$N21+$O21+$P21+$Q21)</f>
        <v/>
      </c>
      <c r="S21" s="59" t="str">
        <f aca="false">IF($E21="","",$E21-$R21)</f>
        <v/>
      </c>
      <c r="T21" s="60" t="str">
        <f aca="false">IF(OR($E21="",$E21=0),"",$S21/$E21)</f>
        <v/>
      </c>
      <c r="U21" s="61" t="str">
        <f aca="false">IF($E21="","",$S21*参数配置!$B$5)</f>
        <v/>
      </c>
      <c r="V21" s="60" t="str">
        <f aca="false">IF($E21="","",1-$H21-参数配置!$B$7-参数配置!$B$9-$G21-参数配置!$B$14-参数配置!$B$15-IF($E21&lt;=参数配置!$B$11,参数配置!$B$10,0))</f>
        <v/>
      </c>
      <c r="W21" s="59" t="str">
        <f aca="false">IF($E21="","",$I21+$F21+$L21)</f>
        <v/>
      </c>
      <c r="X21" s="59" t="str">
        <f aca="false">IF($E21="","",IF($V21&gt;0,$W21/$V21,""))</f>
        <v/>
      </c>
      <c r="Y21" s="59" t="str">
        <f aca="false">IF($E21="","",IF(($V21-参数配置!$B$13)&gt;0,$W21/($V21-参数配置!$B$13),""))</f>
        <v/>
      </c>
      <c r="Z21" s="55" t="str">
        <f aca="false">IF($E21="","",IF(OR($C21="禁售",$C21="需资质"),"⛔"&amp;$C21&amp;"·不应进入利润表",IF($V21&lt;=0,"❗贡献率≤0·任何价都亏损",IF($E21&lt;$X21,"⛔低于保本价·亏损",IF($Y21="","⚠️目标不可达·需降本",IF($E21&lt;$Y21,"⚠️低于红线·未达目标利润率","✅达目标利润率"))))))</f>
        <v/>
      </c>
    </row>
    <row r="22" customFormat="false" ht="15" hidden="false" customHeight="false" outlineLevel="0" collapsed="false">
      <c r="A22" s="44"/>
      <c r="B22" s="49" t="str">
        <f aca="false">IFERROR(VLOOKUP($A22,SKU主表!$A:$M,2,0),"")</f>
        <v/>
      </c>
      <c r="C22" s="50" t="str">
        <f aca="false">IFERROR(VLOOKUP($A22,SKU主表!$A:$M,9,0),"")</f>
        <v/>
      </c>
      <c r="D22" s="50" t="str">
        <f aca="false">IFERROR(VLOOKUP($A22,SKU主表!$A:$M,5,0),"")</f>
        <v/>
      </c>
      <c r="E22" s="62"/>
      <c r="F22" s="62"/>
      <c r="G22" s="63"/>
      <c r="H22" s="63" t="n">
        <f aca="false">参数配置!$B$6</f>
        <v>0.0846</v>
      </c>
      <c r="I22" s="59" t="str">
        <f aca="false">IF($D22="","",$D22/参数配置!$B$5)</f>
        <v/>
      </c>
      <c r="J22" s="59" t="str">
        <f aca="false">IF($E22="","",$E22*$H22)</f>
        <v/>
      </c>
      <c r="K22" s="59" t="str">
        <f aca="false">IF($E22="","",$E22*参数配置!$B$7)</f>
        <v/>
      </c>
      <c r="L22" s="59" t="str">
        <f aca="false">IF($E22="","",参数配置!$B$8)</f>
        <v/>
      </c>
      <c r="M22" s="59" t="str">
        <f aca="false">IF($E22="","",$E22*参数配置!$B$9)</f>
        <v/>
      </c>
      <c r="N22" s="59" t="str">
        <f aca="false">IF($E22="","",IF($E22&lt;=参数配置!$B$11,$E22*参数配置!$B$10,0))</f>
        <v/>
      </c>
      <c r="O22" s="59" t="str">
        <f aca="false">IF($E22="","",$E22*$G22)</f>
        <v/>
      </c>
      <c r="P22" s="59" t="str">
        <f aca="false">IF($E22="","",$E22*参数配置!$B$14)</f>
        <v/>
      </c>
      <c r="Q22" s="59" t="str">
        <f aca="false">IF($E22="","",$E22*参数配置!$B$15)</f>
        <v/>
      </c>
      <c r="R22" s="59" t="str">
        <f aca="false">IF($E22="","",$I22+$F22+$J22+$K22+$L22+$M22+$N22+$O22+$P22+$Q22)</f>
        <v/>
      </c>
      <c r="S22" s="59" t="str">
        <f aca="false">IF($E22="","",$E22-$R22)</f>
        <v/>
      </c>
      <c r="T22" s="60" t="str">
        <f aca="false">IF(OR($E22="",$E22=0),"",$S22/$E22)</f>
        <v/>
      </c>
      <c r="U22" s="61" t="str">
        <f aca="false">IF($E22="","",$S22*参数配置!$B$5)</f>
        <v/>
      </c>
      <c r="V22" s="60" t="str">
        <f aca="false">IF($E22="","",1-$H22-参数配置!$B$7-参数配置!$B$9-$G22-参数配置!$B$14-参数配置!$B$15-IF($E22&lt;=参数配置!$B$11,参数配置!$B$10,0))</f>
        <v/>
      </c>
      <c r="W22" s="59" t="str">
        <f aca="false">IF($E22="","",$I22+$F22+$L22)</f>
        <v/>
      </c>
      <c r="X22" s="59" t="str">
        <f aca="false">IF($E22="","",IF($V22&gt;0,$W22/$V22,""))</f>
        <v/>
      </c>
      <c r="Y22" s="59" t="str">
        <f aca="false">IF($E22="","",IF(($V22-参数配置!$B$13)&gt;0,$W22/($V22-参数配置!$B$13),""))</f>
        <v/>
      </c>
      <c r="Z22" s="55" t="str">
        <f aca="false">IF($E22="","",IF(OR($C22="禁售",$C22="需资质"),"⛔"&amp;$C22&amp;"·不应进入利润表",IF($V22&lt;=0,"❗贡献率≤0·任何价都亏损",IF($E22&lt;$X22,"⛔低于保本价·亏损",IF($Y22="","⚠️目标不可达·需降本",IF($E22&lt;$Y22,"⚠️低于红线·未达目标利润率","✅达目标利润率"))))))</f>
        <v/>
      </c>
    </row>
    <row r="23" customFormat="false" ht="15" hidden="false" customHeight="false" outlineLevel="0" collapsed="false">
      <c r="A23" s="44"/>
      <c r="B23" s="49" t="str">
        <f aca="false">IFERROR(VLOOKUP($A23,SKU主表!$A:$M,2,0),"")</f>
        <v/>
      </c>
      <c r="C23" s="50" t="str">
        <f aca="false">IFERROR(VLOOKUP($A23,SKU主表!$A:$M,9,0),"")</f>
        <v/>
      </c>
      <c r="D23" s="50" t="str">
        <f aca="false">IFERROR(VLOOKUP($A23,SKU主表!$A:$M,5,0),"")</f>
        <v/>
      </c>
      <c r="E23" s="62"/>
      <c r="F23" s="62"/>
      <c r="G23" s="63"/>
      <c r="H23" s="63" t="n">
        <f aca="false">参数配置!$B$6</f>
        <v>0.0846</v>
      </c>
      <c r="I23" s="59" t="str">
        <f aca="false">IF($D23="","",$D23/参数配置!$B$5)</f>
        <v/>
      </c>
      <c r="J23" s="59" t="str">
        <f aca="false">IF($E23="","",$E23*$H23)</f>
        <v/>
      </c>
      <c r="K23" s="59" t="str">
        <f aca="false">IF($E23="","",$E23*参数配置!$B$7)</f>
        <v/>
      </c>
      <c r="L23" s="59" t="str">
        <f aca="false">IF($E23="","",参数配置!$B$8)</f>
        <v/>
      </c>
      <c r="M23" s="59" t="str">
        <f aca="false">IF($E23="","",$E23*参数配置!$B$9)</f>
        <v/>
      </c>
      <c r="N23" s="59" t="str">
        <f aca="false">IF($E23="","",IF($E23&lt;=参数配置!$B$11,$E23*参数配置!$B$10,0))</f>
        <v/>
      </c>
      <c r="O23" s="59" t="str">
        <f aca="false">IF($E23="","",$E23*$G23)</f>
        <v/>
      </c>
      <c r="P23" s="59" t="str">
        <f aca="false">IF($E23="","",$E23*参数配置!$B$14)</f>
        <v/>
      </c>
      <c r="Q23" s="59" t="str">
        <f aca="false">IF($E23="","",$E23*参数配置!$B$15)</f>
        <v/>
      </c>
      <c r="R23" s="59" t="str">
        <f aca="false">IF($E23="","",$I23+$F23+$J23+$K23+$L23+$M23+$N23+$O23+$P23+$Q23)</f>
        <v/>
      </c>
      <c r="S23" s="59" t="str">
        <f aca="false">IF($E23="","",$E23-$R23)</f>
        <v/>
      </c>
      <c r="T23" s="60" t="str">
        <f aca="false">IF(OR($E23="",$E23=0),"",$S23/$E23)</f>
        <v/>
      </c>
      <c r="U23" s="61" t="str">
        <f aca="false">IF($E23="","",$S23*参数配置!$B$5)</f>
        <v/>
      </c>
      <c r="V23" s="60" t="str">
        <f aca="false">IF($E23="","",1-$H23-参数配置!$B$7-参数配置!$B$9-$G23-参数配置!$B$14-参数配置!$B$15-IF($E23&lt;=参数配置!$B$11,参数配置!$B$10,0))</f>
        <v/>
      </c>
      <c r="W23" s="59" t="str">
        <f aca="false">IF($E23="","",$I23+$F23+$L23)</f>
        <v/>
      </c>
      <c r="X23" s="59" t="str">
        <f aca="false">IF($E23="","",IF($V23&gt;0,$W23/$V23,""))</f>
        <v/>
      </c>
      <c r="Y23" s="59" t="str">
        <f aca="false">IF($E23="","",IF(($V23-参数配置!$B$13)&gt;0,$W23/($V23-参数配置!$B$13),""))</f>
        <v/>
      </c>
      <c r="Z23" s="55" t="str">
        <f aca="false">IF($E23="","",IF(OR($C23="禁售",$C23="需资质"),"⛔"&amp;$C23&amp;"·不应进入利润表",IF($V23&lt;=0,"❗贡献率≤0·任何价都亏损",IF($E23&lt;$X23,"⛔低于保本价·亏损",IF($Y23="","⚠️目标不可达·需降本",IF($E23&lt;$Y23,"⚠️低于红线·未达目标利润率","✅达目标利润率"))))))</f>
        <v/>
      </c>
    </row>
    <row r="24" customFormat="false" ht="15" hidden="false" customHeight="false" outlineLevel="0" collapsed="false">
      <c r="A24" s="44"/>
      <c r="B24" s="49" t="str">
        <f aca="false">IFERROR(VLOOKUP($A24,SKU主表!$A:$M,2,0),"")</f>
        <v/>
      </c>
      <c r="C24" s="50" t="str">
        <f aca="false">IFERROR(VLOOKUP($A24,SKU主表!$A:$M,9,0),"")</f>
        <v/>
      </c>
      <c r="D24" s="50" t="str">
        <f aca="false">IFERROR(VLOOKUP($A24,SKU主表!$A:$M,5,0),"")</f>
        <v/>
      </c>
      <c r="E24" s="62"/>
      <c r="F24" s="62"/>
      <c r="G24" s="63"/>
      <c r="H24" s="63" t="n">
        <f aca="false">参数配置!$B$6</f>
        <v>0.0846</v>
      </c>
      <c r="I24" s="59" t="str">
        <f aca="false">IF($D24="","",$D24/参数配置!$B$5)</f>
        <v/>
      </c>
      <c r="J24" s="59" t="str">
        <f aca="false">IF($E24="","",$E24*$H24)</f>
        <v/>
      </c>
      <c r="K24" s="59" t="str">
        <f aca="false">IF($E24="","",$E24*参数配置!$B$7)</f>
        <v/>
      </c>
      <c r="L24" s="59" t="str">
        <f aca="false">IF($E24="","",参数配置!$B$8)</f>
        <v/>
      </c>
      <c r="M24" s="59" t="str">
        <f aca="false">IF($E24="","",$E24*参数配置!$B$9)</f>
        <v/>
      </c>
      <c r="N24" s="59" t="str">
        <f aca="false">IF($E24="","",IF($E24&lt;=参数配置!$B$11,$E24*参数配置!$B$10,0))</f>
        <v/>
      </c>
      <c r="O24" s="59" t="str">
        <f aca="false">IF($E24="","",$E24*$G24)</f>
        <v/>
      </c>
      <c r="P24" s="59" t="str">
        <f aca="false">IF($E24="","",$E24*参数配置!$B$14)</f>
        <v/>
      </c>
      <c r="Q24" s="59" t="str">
        <f aca="false">IF($E24="","",$E24*参数配置!$B$15)</f>
        <v/>
      </c>
      <c r="R24" s="59" t="str">
        <f aca="false">IF($E24="","",$I24+$F24+$J24+$K24+$L24+$M24+$N24+$O24+$P24+$Q24)</f>
        <v/>
      </c>
      <c r="S24" s="59" t="str">
        <f aca="false">IF($E24="","",$E24-$R24)</f>
        <v/>
      </c>
      <c r="T24" s="60" t="str">
        <f aca="false">IF(OR($E24="",$E24=0),"",$S24/$E24)</f>
        <v/>
      </c>
      <c r="U24" s="61" t="str">
        <f aca="false">IF($E24="","",$S24*参数配置!$B$5)</f>
        <v/>
      </c>
      <c r="V24" s="60" t="str">
        <f aca="false">IF($E24="","",1-$H24-参数配置!$B$7-参数配置!$B$9-$G24-参数配置!$B$14-参数配置!$B$15-IF($E24&lt;=参数配置!$B$11,参数配置!$B$10,0))</f>
        <v/>
      </c>
      <c r="W24" s="59" t="str">
        <f aca="false">IF($E24="","",$I24+$F24+$L24)</f>
        <v/>
      </c>
      <c r="X24" s="59" t="str">
        <f aca="false">IF($E24="","",IF($V24&gt;0,$W24/$V24,""))</f>
        <v/>
      </c>
      <c r="Y24" s="59" t="str">
        <f aca="false">IF($E24="","",IF(($V24-参数配置!$B$13)&gt;0,$W24/($V24-参数配置!$B$13),""))</f>
        <v/>
      </c>
      <c r="Z24" s="55" t="str">
        <f aca="false">IF($E24="","",IF(OR($C24="禁售",$C24="需资质"),"⛔"&amp;$C24&amp;"·不应进入利润表",IF($V24&lt;=0,"❗贡献率≤0·任何价都亏损",IF($E24&lt;$X24,"⛔低于保本价·亏损",IF($Y24="","⚠️目标不可达·需降本",IF($E24&lt;$Y24,"⚠️低于红线·未达目标利润率","✅达目标利润率"))))))</f>
        <v/>
      </c>
    </row>
    <row r="25" customFormat="false" ht="15" hidden="false" customHeight="false" outlineLevel="0" collapsed="false">
      <c r="A25" s="44"/>
      <c r="B25" s="49" t="str">
        <f aca="false">IFERROR(VLOOKUP($A25,SKU主表!$A:$M,2,0),"")</f>
        <v/>
      </c>
      <c r="C25" s="50" t="str">
        <f aca="false">IFERROR(VLOOKUP($A25,SKU主表!$A:$M,9,0),"")</f>
        <v/>
      </c>
      <c r="D25" s="50" t="str">
        <f aca="false">IFERROR(VLOOKUP($A25,SKU主表!$A:$M,5,0),"")</f>
        <v/>
      </c>
      <c r="E25" s="62"/>
      <c r="F25" s="62"/>
      <c r="G25" s="63"/>
      <c r="H25" s="63" t="n">
        <f aca="false">参数配置!$B$6</f>
        <v>0.0846</v>
      </c>
      <c r="I25" s="59" t="str">
        <f aca="false">IF($D25="","",$D25/参数配置!$B$5)</f>
        <v/>
      </c>
      <c r="J25" s="59" t="str">
        <f aca="false">IF($E25="","",$E25*$H25)</f>
        <v/>
      </c>
      <c r="K25" s="59" t="str">
        <f aca="false">IF($E25="","",$E25*参数配置!$B$7)</f>
        <v/>
      </c>
      <c r="L25" s="59" t="str">
        <f aca="false">IF($E25="","",参数配置!$B$8)</f>
        <v/>
      </c>
      <c r="M25" s="59" t="str">
        <f aca="false">IF($E25="","",$E25*参数配置!$B$9)</f>
        <v/>
      </c>
      <c r="N25" s="59" t="str">
        <f aca="false">IF($E25="","",IF($E25&lt;=参数配置!$B$11,$E25*参数配置!$B$10,0))</f>
        <v/>
      </c>
      <c r="O25" s="59" t="str">
        <f aca="false">IF($E25="","",$E25*$G25)</f>
        <v/>
      </c>
      <c r="P25" s="59" t="str">
        <f aca="false">IF($E25="","",$E25*参数配置!$B$14)</f>
        <v/>
      </c>
      <c r="Q25" s="59" t="str">
        <f aca="false">IF($E25="","",$E25*参数配置!$B$15)</f>
        <v/>
      </c>
      <c r="R25" s="59" t="str">
        <f aca="false">IF($E25="","",$I25+$F25+$J25+$K25+$L25+$M25+$N25+$O25+$P25+$Q25)</f>
        <v/>
      </c>
      <c r="S25" s="59" t="str">
        <f aca="false">IF($E25="","",$E25-$R25)</f>
        <v/>
      </c>
      <c r="T25" s="60" t="str">
        <f aca="false">IF(OR($E25="",$E25=0),"",$S25/$E25)</f>
        <v/>
      </c>
      <c r="U25" s="61" t="str">
        <f aca="false">IF($E25="","",$S25*参数配置!$B$5)</f>
        <v/>
      </c>
      <c r="V25" s="60" t="str">
        <f aca="false">IF($E25="","",1-$H25-参数配置!$B$7-参数配置!$B$9-$G25-参数配置!$B$14-参数配置!$B$15-IF($E25&lt;=参数配置!$B$11,参数配置!$B$10,0))</f>
        <v/>
      </c>
      <c r="W25" s="59" t="str">
        <f aca="false">IF($E25="","",$I25+$F25+$L25)</f>
        <v/>
      </c>
      <c r="X25" s="59" t="str">
        <f aca="false">IF($E25="","",IF($V25&gt;0,$W25/$V25,""))</f>
        <v/>
      </c>
      <c r="Y25" s="59" t="str">
        <f aca="false">IF($E25="","",IF(($V25-参数配置!$B$13)&gt;0,$W25/($V25-参数配置!$B$13),""))</f>
        <v/>
      </c>
      <c r="Z25" s="55" t="str">
        <f aca="false">IF($E25="","",IF(OR($C25="禁售",$C25="需资质"),"⛔"&amp;$C25&amp;"·不应进入利润表",IF($V25&lt;=0,"❗贡献率≤0·任何价都亏损",IF($E25&lt;$X25,"⛔低于保本价·亏损",IF($Y25="","⚠️目标不可达·需降本",IF($E25&lt;$Y25,"⚠️低于红线·未达目标利润率","✅达目标利润率"))))))</f>
        <v/>
      </c>
    </row>
    <row r="26" customFormat="false" ht="15" hidden="false" customHeight="false" outlineLevel="0" collapsed="false">
      <c r="A26" s="44"/>
      <c r="B26" s="49" t="str">
        <f aca="false">IFERROR(VLOOKUP($A26,SKU主表!$A:$M,2,0),"")</f>
        <v/>
      </c>
      <c r="C26" s="50" t="str">
        <f aca="false">IFERROR(VLOOKUP($A26,SKU主表!$A:$M,9,0),"")</f>
        <v/>
      </c>
      <c r="D26" s="50" t="str">
        <f aca="false">IFERROR(VLOOKUP($A26,SKU主表!$A:$M,5,0),"")</f>
        <v/>
      </c>
      <c r="E26" s="62"/>
      <c r="F26" s="62"/>
      <c r="G26" s="63"/>
      <c r="H26" s="63" t="n">
        <f aca="false">参数配置!$B$6</f>
        <v>0.0846</v>
      </c>
      <c r="I26" s="59" t="str">
        <f aca="false">IF($D26="","",$D26/参数配置!$B$5)</f>
        <v/>
      </c>
      <c r="J26" s="59" t="str">
        <f aca="false">IF($E26="","",$E26*$H26)</f>
        <v/>
      </c>
      <c r="K26" s="59" t="str">
        <f aca="false">IF($E26="","",$E26*参数配置!$B$7)</f>
        <v/>
      </c>
      <c r="L26" s="59" t="str">
        <f aca="false">IF($E26="","",参数配置!$B$8)</f>
        <v/>
      </c>
      <c r="M26" s="59" t="str">
        <f aca="false">IF($E26="","",$E26*参数配置!$B$9)</f>
        <v/>
      </c>
      <c r="N26" s="59" t="str">
        <f aca="false">IF($E26="","",IF($E26&lt;=参数配置!$B$11,$E26*参数配置!$B$10,0))</f>
        <v/>
      </c>
      <c r="O26" s="59" t="str">
        <f aca="false">IF($E26="","",$E26*$G26)</f>
        <v/>
      </c>
      <c r="P26" s="59" t="str">
        <f aca="false">IF($E26="","",$E26*参数配置!$B$14)</f>
        <v/>
      </c>
      <c r="Q26" s="59" t="str">
        <f aca="false">IF($E26="","",$E26*参数配置!$B$15)</f>
        <v/>
      </c>
      <c r="R26" s="59" t="str">
        <f aca="false">IF($E26="","",$I26+$F26+$J26+$K26+$L26+$M26+$N26+$O26+$P26+$Q26)</f>
        <v/>
      </c>
      <c r="S26" s="59" t="str">
        <f aca="false">IF($E26="","",$E26-$R26)</f>
        <v/>
      </c>
      <c r="T26" s="60" t="str">
        <f aca="false">IF(OR($E26="",$E26=0),"",$S26/$E26)</f>
        <v/>
      </c>
      <c r="U26" s="61" t="str">
        <f aca="false">IF($E26="","",$S26*参数配置!$B$5)</f>
        <v/>
      </c>
      <c r="V26" s="60" t="str">
        <f aca="false">IF($E26="","",1-$H26-参数配置!$B$7-参数配置!$B$9-$G26-参数配置!$B$14-参数配置!$B$15-IF($E26&lt;=参数配置!$B$11,参数配置!$B$10,0))</f>
        <v/>
      </c>
      <c r="W26" s="59" t="str">
        <f aca="false">IF($E26="","",$I26+$F26+$L26)</f>
        <v/>
      </c>
      <c r="X26" s="59" t="str">
        <f aca="false">IF($E26="","",IF($V26&gt;0,$W26/$V26,""))</f>
        <v/>
      </c>
      <c r="Y26" s="59" t="str">
        <f aca="false">IF($E26="","",IF(($V26-参数配置!$B$13)&gt;0,$W26/($V26-参数配置!$B$13),""))</f>
        <v/>
      </c>
      <c r="Z26" s="55" t="str">
        <f aca="false">IF($E26="","",IF(OR($C26="禁售",$C26="需资质"),"⛔"&amp;$C26&amp;"·不应进入利润表",IF($V26&lt;=0,"❗贡献率≤0·任何价都亏损",IF($E26&lt;$X26,"⛔低于保本价·亏损",IF($Y26="","⚠️目标不可达·需降本",IF($E26&lt;$Y26,"⚠️低于红线·未达目标利润率","✅达目标利润率"))))))</f>
        <v/>
      </c>
    </row>
    <row r="27" customFormat="false" ht="15" hidden="false" customHeight="false" outlineLevel="0" collapsed="false">
      <c r="A27" s="44"/>
      <c r="B27" s="49" t="str">
        <f aca="false">IFERROR(VLOOKUP($A27,SKU主表!$A:$M,2,0),"")</f>
        <v/>
      </c>
      <c r="C27" s="50" t="str">
        <f aca="false">IFERROR(VLOOKUP($A27,SKU主表!$A:$M,9,0),"")</f>
        <v/>
      </c>
      <c r="D27" s="50" t="str">
        <f aca="false">IFERROR(VLOOKUP($A27,SKU主表!$A:$M,5,0),"")</f>
        <v/>
      </c>
      <c r="E27" s="62"/>
      <c r="F27" s="62"/>
      <c r="G27" s="63"/>
      <c r="H27" s="63" t="n">
        <f aca="false">参数配置!$B$6</f>
        <v>0.0846</v>
      </c>
      <c r="I27" s="59" t="str">
        <f aca="false">IF($D27="","",$D27/参数配置!$B$5)</f>
        <v/>
      </c>
      <c r="J27" s="59" t="str">
        <f aca="false">IF($E27="","",$E27*$H27)</f>
        <v/>
      </c>
      <c r="K27" s="59" t="str">
        <f aca="false">IF($E27="","",$E27*参数配置!$B$7)</f>
        <v/>
      </c>
      <c r="L27" s="59" t="str">
        <f aca="false">IF($E27="","",参数配置!$B$8)</f>
        <v/>
      </c>
      <c r="M27" s="59" t="str">
        <f aca="false">IF($E27="","",$E27*参数配置!$B$9)</f>
        <v/>
      </c>
      <c r="N27" s="59" t="str">
        <f aca="false">IF($E27="","",IF($E27&lt;=参数配置!$B$11,$E27*参数配置!$B$10,0))</f>
        <v/>
      </c>
      <c r="O27" s="59" t="str">
        <f aca="false">IF($E27="","",$E27*$G27)</f>
        <v/>
      </c>
      <c r="P27" s="59" t="str">
        <f aca="false">IF($E27="","",$E27*参数配置!$B$14)</f>
        <v/>
      </c>
      <c r="Q27" s="59" t="str">
        <f aca="false">IF($E27="","",$E27*参数配置!$B$15)</f>
        <v/>
      </c>
      <c r="R27" s="59" t="str">
        <f aca="false">IF($E27="","",$I27+$F27+$J27+$K27+$L27+$M27+$N27+$O27+$P27+$Q27)</f>
        <v/>
      </c>
      <c r="S27" s="59" t="str">
        <f aca="false">IF($E27="","",$E27-$R27)</f>
        <v/>
      </c>
      <c r="T27" s="60" t="str">
        <f aca="false">IF(OR($E27="",$E27=0),"",$S27/$E27)</f>
        <v/>
      </c>
      <c r="U27" s="61" t="str">
        <f aca="false">IF($E27="","",$S27*参数配置!$B$5)</f>
        <v/>
      </c>
      <c r="V27" s="60" t="str">
        <f aca="false">IF($E27="","",1-$H27-参数配置!$B$7-参数配置!$B$9-$G27-参数配置!$B$14-参数配置!$B$15-IF($E27&lt;=参数配置!$B$11,参数配置!$B$10,0))</f>
        <v/>
      </c>
      <c r="W27" s="59" t="str">
        <f aca="false">IF($E27="","",$I27+$F27+$L27)</f>
        <v/>
      </c>
      <c r="X27" s="59" t="str">
        <f aca="false">IF($E27="","",IF($V27&gt;0,$W27/$V27,""))</f>
        <v/>
      </c>
      <c r="Y27" s="59" t="str">
        <f aca="false">IF($E27="","",IF(($V27-参数配置!$B$13)&gt;0,$W27/($V27-参数配置!$B$13),""))</f>
        <v/>
      </c>
      <c r="Z27" s="55" t="str">
        <f aca="false">IF($E27="","",IF(OR($C27="禁售",$C27="需资质"),"⛔"&amp;$C27&amp;"·不应进入利润表",IF($V27&lt;=0,"❗贡献率≤0·任何价都亏损",IF($E27&lt;$X27,"⛔低于保本价·亏损",IF($Y27="","⚠️目标不可达·需降本",IF($E27&lt;$Y27,"⚠️低于红线·未达目标利润率","✅达目标利润率"))))))</f>
        <v/>
      </c>
    </row>
    <row r="28" customFormat="false" ht="15" hidden="false" customHeight="false" outlineLevel="0" collapsed="false">
      <c r="A28" s="44"/>
      <c r="B28" s="49" t="str">
        <f aca="false">IFERROR(VLOOKUP($A28,SKU主表!$A:$M,2,0),"")</f>
        <v/>
      </c>
      <c r="C28" s="50" t="str">
        <f aca="false">IFERROR(VLOOKUP($A28,SKU主表!$A:$M,9,0),"")</f>
        <v/>
      </c>
      <c r="D28" s="50" t="str">
        <f aca="false">IFERROR(VLOOKUP($A28,SKU主表!$A:$M,5,0),"")</f>
        <v/>
      </c>
      <c r="E28" s="62"/>
      <c r="F28" s="62"/>
      <c r="G28" s="63"/>
      <c r="H28" s="63" t="n">
        <f aca="false">参数配置!$B$6</f>
        <v>0.0846</v>
      </c>
      <c r="I28" s="59" t="str">
        <f aca="false">IF($D28="","",$D28/参数配置!$B$5)</f>
        <v/>
      </c>
      <c r="J28" s="59" t="str">
        <f aca="false">IF($E28="","",$E28*$H28)</f>
        <v/>
      </c>
      <c r="K28" s="59" t="str">
        <f aca="false">IF($E28="","",$E28*参数配置!$B$7)</f>
        <v/>
      </c>
      <c r="L28" s="59" t="str">
        <f aca="false">IF($E28="","",参数配置!$B$8)</f>
        <v/>
      </c>
      <c r="M28" s="59" t="str">
        <f aca="false">IF($E28="","",$E28*参数配置!$B$9)</f>
        <v/>
      </c>
      <c r="N28" s="59" t="str">
        <f aca="false">IF($E28="","",IF($E28&lt;=参数配置!$B$11,$E28*参数配置!$B$10,0))</f>
        <v/>
      </c>
      <c r="O28" s="59" t="str">
        <f aca="false">IF($E28="","",$E28*$G28)</f>
        <v/>
      </c>
      <c r="P28" s="59" t="str">
        <f aca="false">IF($E28="","",$E28*参数配置!$B$14)</f>
        <v/>
      </c>
      <c r="Q28" s="59" t="str">
        <f aca="false">IF($E28="","",$E28*参数配置!$B$15)</f>
        <v/>
      </c>
      <c r="R28" s="59" t="str">
        <f aca="false">IF($E28="","",$I28+$F28+$J28+$K28+$L28+$M28+$N28+$O28+$P28+$Q28)</f>
        <v/>
      </c>
      <c r="S28" s="59" t="str">
        <f aca="false">IF($E28="","",$E28-$R28)</f>
        <v/>
      </c>
      <c r="T28" s="60" t="str">
        <f aca="false">IF(OR($E28="",$E28=0),"",$S28/$E28)</f>
        <v/>
      </c>
      <c r="U28" s="61" t="str">
        <f aca="false">IF($E28="","",$S28*参数配置!$B$5)</f>
        <v/>
      </c>
      <c r="V28" s="60" t="str">
        <f aca="false">IF($E28="","",1-$H28-参数配置!$B$7-参数配置!$B$9-$G28-参数配置!$B$14-参数配置!$B$15-IF($E28&lt;=参数配置!$B$11,参数配置!$B$10,0))</f>
        <v/>
      </c>
      <c r="W28" s="59" t="str">
        <f aca="false">IF($E28="","",$I28+$F28+$L28)</f>
        <v/>
      </c>
      <c r="X28" s="59" t="str">
        <f aca="false">IF($E28="","",IF($V28&gt;0,$W28/$V28,""))</f>
        <v/>
      </c>
      <c r="Y28" s="59" t="str">
        <f aca="false">IF($E28="","",IF(($V28-参数配置!$B$13)&gt;0,$W28/($V28-参数配置!$B$13),""))</f>
        <v/>
      </c>
      <c r="Z28" s="55" t="str">
        <f aca="false">IF($E28="","",IF(OR($C28="禁售",$C28="需资质"),"⛔"&amp;$C28&amp;"·不应进入利润表",IF($V28&lt;=0,"❗贡献率≤0·任何价都亏损",IF($E28&lt;$X28,"⛔低于保本价·亏损",IF($Y28="","⚠️目标不可达·需降本",IF($E28&lt;$Y28,"⚠️低于红线·未达目标利润率","✅达目标利润率"))))))</f>
        <v/>
      </c>
    </row>
    <row r="29" customFormat="false" ht="15" hidden="false" customHeight="false" outlineLevel="0" collapsed="false">
      <c r="A29" s="44"/>
      <c r="B29" s="49" t="str">
        <f aca="false">IFERROR(VLOOKUP($A29,SKU主表!$A:$M,2,0),"")</f>
        <v/>
      </c>
      <c r="C29" s="50" t="str">
        <f aca="false">IFERROR(VLOOKUP($A29,SKU主表!$A:$M,9,0),"")</f>
        <v/>
      </c>
      <c r="D29" s="50" t="str">
        <f aca="false">IFERROR(VLOOKUP($A29,SKU主表!$A:$M,5,0),"")</f>
        <v/>
      </c>
      <c r="E29" s="62"/>
      <c r="F29" s="62"/>
      <c r="G29" s="63"/>
      <c r="H29" s="63" t="n">
        <f aca="false">参数配置!$B$6</f>
        <v>0.0846</v>
      </c>
      <c r="I29" s="59" t="str">
        <f aca="false">IF($D29="","",$D29/参数配置!$B$5)</f>
        <v/>
      </c>
      <c r="J29" s="59" t="str">
        <f aca="false">IF($E29="","",$E29*$H29)</f>
        <v/>
      </c>
      <c r="K29" s="59" t="str">
        <f aca="false">IF($E29="","",$E29*参数配置!$B$7)</f>
        <v/>
      </c>
      <c r="L29" s="59" t="str">
        <f aca="false">IF($E29="","",参数配置!$B$8)</f>
        <v/>
      </c>
      <c r="M29" s="59" t="str">
        <f aca="false">IF($E29="","",$E29*参数配置!$B$9)</f>
        <v/>
      </c>
      <c r="N29" s="59" t="str">
        <f aca="false">IF($E29="","",IF($E29&lt;=参数配置!$B$11,$E29*参数配置!$B$10,0))</f>
        <v/>
      </c>
      <c r="O29" s="59" t="str">
        <f aca="false">IF($E29="","",$E29*$G29)</f>
        <v/>
      </c>
      <c r="P29" s="59" t="str">
        <f aca="false">IF($E29="","",$E29*参数配置!$B$14)</f>
        <v/>
      </c>
      <c r="Q29" s="59" t="str">
        <f aca="false">IF($E29="","",$E29*参数配置!$B$15)</f>
        <v/>
      </c>
      <c r="R29" s="59" t="str">
        <f aca="false">IF($E29="","",$I29+$F29+$J29+$K29+$L29+$M29+$N29+$O29+$P29+$Q29)</f>
        <v/>
      </c>
      <c r="S29" s="59" t="str">
        <f aca="false">IF($E29="","",$E29-$R29)</f>
        <v/>
      </c>
      <c r="T29" s="60" t="str">
        <f aca="false">IF(OR($E29="",$E29=0),"",$S29/$E29)</f>
        <v/>
      </c>
      <c r="U29" s="61" t="str">
        <f aca="false">IF($E29="","",$S29*参数配置!$B$5)</f>
        <v/>
      </c>
      <c r="V29" s="60" t="str">
        <f aca="false">IF($E29="","",1-$H29-参数配置!$B$7-参数配置!$B$9-$G29-参数配置!$B$14-参数配置!$B$15-IF($E29&lt;=参数配置!$B$11,参数配置!$B$10,0))</f>
        <v/>
      </c>
      <c r="W29" s="59" t="str">
        <f aca="false">IF($E29="","",$I29+$F29+$L29)</f>
        <v/>
      </c>
      <c r="X29" s="59" t="str">
        <f aca="false">IF($E29="","",IF($V29&gt;0,$W29/$V29,""))</f>
        <v/>
      </c>
      <c r="Y29" s="59" t="str">
        <f aca="false">IF($E29="","",IF(($V29-参数配置!$B$13)&gt;0,$W29/($V29-参数配置!$B$13),""))</f>
        <v/>
      </c>
      <c r="Z29" s="55" t="str">
        <f aca="false">IF($E29="","",IF(OR($C29="禁售",$C29="需资质"),"⛔"&amp;$C29&amp;"·不应进入利润表",IF($V29&lt;=0,"❗贡献率≤0·任何价都亏损",IF($E29&lt;$X29,"⛔低于保本价·亏损",IF($Y29="","⚠️目标不可达·需降本",IF($E29&lt;$Y29,"⚠️低于红线·未达目标利润率","✅达目标利润率"))))))</f>
        <v/>
      </c>
    </row>
    <row r="30" customFormat="false" ht="15" hidden="false" customHeight="false" outlineLevel="0" collapsed="false">
      <c r="A30" s="44"/>
      <c r="B30" s="49" t="str">
        <f aca="false">IFERROR(VLOOKUP($A30,SKU主表!$A:$M,2,0),"")</f>
        <v/>
      </c>
      <c r="C30" s="50" t="str">
        <f aca="false">IFERROR(VLOOKUP($A30,SKU主表!$A:$M,9,0),"")</f>
        <v/>
      </c>
      <c r="D30" s="50" t="str">
        <f aca="false">IFERROR(VLOOKUP($A30,SKU主表!$A:$M,5,0),"")</f>
        <v/>
      </c>
      <c r="E30" s="62"/>
      <c r="F30" s="62"/>
      <c r="G30" s="63"/>
      <c r="H30" s="63" t="n">
        <f aca="false">参数配置!$B$6</f>
        <v>0.0846</v>
      </c>
      <c r="I30" s="59" t="str">
        <f aca="false">IF($D30="","",$D30/参数配置!$B$5)</f>
        <v/>
      </c>
      <c r="J30" s="59" t="str">
        <f aca="false">IF($E30="","",$E30*$H30)</f>
        <v/>
      </c>
      <c r="K30" s="59" t="str">
        <f aca="false">IF($E30="","",$E30*参数配置!$B$7)</f>
        <v/>
      </c>
      <c r="L30" s="59" t="str">
        <f aca="false">IF($E30="","",参数配置!$B$8)</f>
        <v/>
      </c>
      <c r="M30" s="59" t="str">
        <f aca="false">IF($E30="","",$E30*参数配置!$B$9)</f>
        <v/>
      </c>
      <c r="N30" s="59" t="str">
        <f aca="false">IF($E30="","",IF($E30&lt;=参数配置!$B$11,$E30*参数配置!$B$10,0))</f>
        <v/>
      </c>
      <c r="O30" s="59" t="str">
        <f aca="false">IF($E30="","",$E30*$G30)</f>
        <v/>
      </c>
      <c r="P30" s="59" t="str">
        <f aca="false">IF($E30="","",$E30*参数配置!$B$14)</f>
        <v/>
      </c>
      <c r="Q30" s="59" t="str">
        <f aca="false">IF($E30="","",$E30*参数配置!$B$15)</f>
        <v/>
      </c>
      <c r="R30" s="59" t="str">
        <f aca="false">IF($E30="","",$I30+$F30+$J30+$K30+$L30+$M30+$N30+$O30+$P30+$Q30)</f>
        <v/>
      </c>
      <c r="S30" s="59" t="str">
        <f aca="false">IF($E30="","",$E30-$R30)</f>
        <v/>
      </c>
      <c r="T30" s="60" t="str">
        <f aca="false">IF(OR($E30="",$E30=0),"",$S30/$E30)</f>
        <v/>
      </c>
      <c r="U30" s="61" t="str">
        <f aca="false">IF($E30="","",$S30*参数配置!$B$5)</f>
        <v/>
      </c>
      <c r="V30" s="60" t="str">
        <f aca="false">IF($E30="","",1-$H30-参数配置!$B$7-参数配置!$B$9-$G30-参数配置!$B$14-参数配置!$B$15-IF($E30&lt;=参数配置!$B$11,参数配置!$B$10,0))</f>
        <v/>
      </c>
      <c r="W30" s="59" t="str">
        <f aca="false">IF($E30="","",$I30+$F30+$L30)</f>
        <v/>
      </c>
      <c r="X30" s="59" t="str">
        <f aca="false">IF($E30="","",IF($V30&gt;0,$W30/$V30,""))</f>
        <v/>
      </c>
      <c r="Y30" s="59" t="str">
        <f aca="false">IF($E30="","",IF(($V30-参数配置!$B$13)&gt;0,$W30/($V30-参数配置!$B$13),""))</f>
        <v/>
      </c>
      <c r="Z30" s="55" t="str">
        <f aca="false">IF($E30="","",IF(OR($C30="禁售",$C30="需资质"),"⛔"&amp;$C30&amp;"·不应进入利润表",IF($V30&lt;=0,"❗贡献率≤0·任何价都亏损",IF($E30&lt;$X30,"⛔低于保本价·亏损",IF($Y30="","⚠️目标不可达·需降本",IF($E30&lt;$Y30,"⚠️低于红线·未达目标利润率","✅达目标利润率"))))))</f>
        <v/>
      </c>
    </row>
    <row r="31" customFormat="false" ht="15" hidden="false" customHeight="false" outlineLevel="0" collapsed="false">
      <c r="A31" s="44"/>
      <c r="B31" s="49" t="str">
        <f aca="false">IFERROR(VLOOKUP($A31,SKU主表!$A:$M,2,0),"")</f>
        <v/>
      </c>
      <c r="C31" s="50" t="str">
        <f aca="false">IFERROR(VLOOKUP($A31,SKU主表!$A:$M,9,0),"")</f>
        <v/>
      </c>
      <c r="D31" s="50" t="str">
        <f aca="false">IFERROR(VLOOKUP($A31,SKU主表!$A:$M,5,0),"")</f>
        <v/>
      </c>
      <c r="E31" s="62"/>
      <c r="F31" s="62"/>
      <c r="G31" s="63"/>
      <c r="H31" s="63" t="n">
        <f aca="false">参数配置!$B$6</f>
        <v>0.0846</v>
      </c>
      <c r="I31" s="59" t="str">
        <f aca="false">IF($D31="","",$D31/参数配置!$B$5)</f>
        <v/>
      </c>
      <c r="J31" s="59" t="str">
        <f aca="false">IF($E31="","",$E31*$H31)</f>
        <v/>
      </c>
      <c r="K31" s="59" t="str">
        <f aca="false">IF($E31="","",$E31*参数配置!$B$7)</f>
        <v/>
      </c>
      <c r="L31" s="59" t="str">
        <f aca="false">IF($E31="","",参数配置!$B$8)</f>
        <v/>
      </c>
      <c r="M31" s="59" t="str">
        <f aca="false">IF($E31="","",$E31*参数配置!$B$9)</f>
        <v/>
      </c>
      <c r="N31" s="59" t="str">
        <f aca="false">IF($E31="","",IF($E31&lt;=参数配置!$B$11,$E31*参数配置!$B$10,0))</f>
        <v/>
      </c>
      <c r="O31" s="59" t="str">
        <f aca="false">IF($E31="","",$E31*$G31)</f>
        <v/>
      </c>
      <c r="P31" s="59" t="str">
        <f aca="false">IF($E31="","",$E31*参数配置!$B$14)</f>
        <v/>
      </c>
      <c r="Q31" s="59" t="str">
        <f aca="false">IF($E31="","",$E31*参数配置!$B$15)</f>
        <v/>
      </c>
      <c r="R31" s="59" t="str">
        <f aca="false">IF($E31="","",$I31+$F31+$J31+$K31+$L31+$M31+$N31+$O31+$P31+$Q31)</f>
        <v/>
      </c>
      <c r="S31" s="59" t="str">
        <f aca="false">IF($E31="","",$E31-$R31)</f>
        <v/>
      </c>
      <c r="T31" s="60" t="str">
        <f aca="false">IF(OR($E31="",$E31=0),"",$S31/$E31)</f>
        <v/>
      </c>
      <c r="U31" s="61" t="str">
        <f aca="false">IF($E31="","",$S31*参数配置!$B$5)</f>
        <v/>
      </c>
      <c r="V31" s="60" t="str">
        <f aca="false">IF($E31="","",1-$H31-参数配置!$B$7-参数配置!$B$9-$G31-参数配置!$B$14-参数配置!$B$15-IF($E31&lt;=参数配置!$B$11,参数配置!$B$10,0))</f>
        <v/>
      </c>
      <c r="W31" s="59" t="str">
        <f aca="false">IF($E31="","",$I31+$F31+$L31)</f>
        <v/>
      </c>
      <c r="X31" s="59" t="str">
        <f aca="false">IF($E31="","",IF($V31&gt;0,$W31/$V31,""))</f>
        <v/>
      </c>
      <c r="Y31" s="59" t="str">
        <f aca="false">IF($E31="","",IF(($V31-参数配置!$B$13)&gt;0,$W31/($V31-参数配置!$B$13),""))</f>
        <v/>
      </c>
      <c r="Z31" s="55" t="str">
        <f aca="false">IF($E31="","",IF(OR($C31="禁售",$C31="需资质"),"⛔"&amp;$C31&amp;"·不应进入利润表",IF($V31&lt;=0,"❗贡献率≤0·任何价都亏损",IF($E31&lt;$X31,"⛔低于保本价·亏损",IF($Y31="","⚠️目标不可达·需降本",IF($E31&lt;$Y31,"⚠️低于红线·未达目标利润率","✅达目标利润率"))))))</f>
        <v/>
      </c>
    </row>
    <row r="32" customFormat="false" ht="15" hidden="false" customHeight="false" outlineLevel="0" collapsed="false">
      <c r="A32" s="44"/>
      <c r="B32" s="49" t="str">
        <f aca="false">IFERROR(VLOOKUP($A32,SKU主表!$A:$M,2,0),"")</f>
        <v/>
      </c>
      <c r="C32" s="50" t="str">
        <f aca="false">IFERROR(VLOOKUP($A32,SKU主表!$A:$M,9,0),"")</f>
        <v/>
      </c>
      <c r="D32" s="50" t="str">
        <f aca="false">IFERROR(VLOOKUP($A32,SKU主表!$A:$M,5,0),"")</f>
        <v/>
      </c>
      <c r="E32" s="62"/>
      <c r="F32" s="62"/>
      <c r="G32" s="63"/>
      <c r="H32" s="63" t="n">
        <f aca="false">参数配置!$B$6</f>
        <v>0.0846</v>
      </c>
      <c r="I32" s="59" t="str">
        <f aca="false">IF($D32="","",$D32/参数配置!$B$5)</f>
        <v/>
      </c>
      <c r="J32" s="59" t="str">
        <f aca="false">IF($E32="","",$E32*$H32)</f>
        <v/>
      </c>
      <c r="K32" s="59" t="str">
        <f aca="false">IF($E32="","",$E32*参数配置!$B$7)</f>
        <v/>
      </c>
      <c r="L32" s="59" t="str">
        <f aca="false">IF($E32="","",参数配置!$B$8)</f>
        <v/>
      </c>
      <c r="M32" s="59" t="str">
        <f aca="false">IF($E32="","",$E32*参数配置!$B$9)</f>
        <v/>
      </c>
      <c r="N32" s="59" t="str">
        <f aca="false">IF($E32="","",IF($E32&lt;=参数配置!$B$11,$E32*参数配置!$B$10,0))</f>
        <v/>
      </c>
      <c r="O32" s="59" t="str">
        <f aca="false">IF($E32="","",$E32*$G32)</f>
        <v/>
      </c>
      <c r="P32" s="59" t="str">
        <f aca="false">IF($E32="","",$E32*参数配置!$B$14)</f>
        <v/>
      </c>
      <c r="Q32" s="59" t="str">
        <f aca="false">IF($E32="","",$E32*参数配置!$B$15)</f>
        <v/>
      </c>
      <c r="R32" s="59" t="str">
        <f aca="false">IF($E32="","",$I32+$F32+$J32+$K32+$L32+$M32+$N32+$O32+$P32+$Q32)</f>
        <v/>
      </c>
      <c r="S32" s="59" t="str">
        <f aca="false">IF($E32="","",$E32-$R32)</f>
        <v/>
      </c>
      <c r="T32" s="60" t="str">
        <f aca="false">IF(OR($E32="",$E32=0),"",$S32/$E32)</f>
        <v/>
      </c>
      <c r="U32" s="61" t="str">
        <f aca="false">IF($E32="","",$S32*参数配置!$B$5)</f>
        <v/>
      </c>
      <c r="V32" s="60" t="str">
        <f aca="false">IF($E32="","",1-$H32-参数配置!$B$7-参数配置!$B$9-$G32-参数配置!$B$14-参数配置!$B$15-IF($E32&lt;=参数配置!$B$11,参数配置!$B$10,0))</f>
        <v/>
      </c>
      <c r="W32" s="59" t="str">
        <f aca="false">IF($E32="","",$I32+$F32+$L32)</f>
        <v/>
      </c>
      <c r="X32" s="59" t="str">
        <f aca="false">IF($E32="","",IF($V32&gt;0,$W32/$V32,""))</f>
        <v/>
      </c>
      <c r="Y32" s="59" t="str">
        <f aca="false">IF($E32="","",IF(($V32-参数配置!$B$13)&gt;0,$W32/($V32-参数配置!$B$13),""))</f>
        <v/>
      </c>
      <c r="Z32" s="55" t="str">
        <f aca="false">IF($E32="","",IF(OR($C32="禁售",$C32="需资质"),"⛔"&amp;$C32&amp;"·不应进入利润表",IF($V32&lt;=0,"❗贡献率≤0·任何价都亏损",IF($E32&lt;$X32,"⛔低于保本价·亏损",IF($Y32="","⚠️目标不可达·需降本",IF($E32&lt;$Y32,"⚠️低于红线·未达目标利润率","✅达目标利润率"))))))</f>
        <v/>
      </c>
    </row>
    <row r="33" customFormat="false" ht="15" hidden="false" customHeight="false" outlineLevel="0" collapsed="false">
      <c r="A33" s="44"/>
      <c r="B33" s="49" t="str">
        <f aca="false">IFERROR(VLOOKUP($A33,SKU主表!$A:$M,2,0),"")</f>
        <v/>
      </c>
      <c r="C33" s="50" t="str">
        <f aca="false">IFERROR(VLOOKUP($A33,SKU主表!$A:$M,9,0),"")</f>
        <v/>
      </c>
      <c r="D33" s="50" t="str">
        <f aca="false">IFERROR(VLOOKUP($A33,SKU主表!$A:$M,5,0),"")</f>
        <v/>
      </c>
      <c r="E33" s="62"/>
      <c r="F33" s="62"/>
      <c r="G33" s="63"/>
      <c r="H33" s="63" t="n">
        <f aca="false">参数配置!$B$6</f>
        <v>0.0846</v>
      </c>
      <c r="I33" s="59" t="str">
        <f aca="false">IF($D33="","",$D33/参数配置!$B$5)</f>
        <v/>
      </c>
      <c r="J33" s="59" t="str">
        <f aca="false">IF($E33="","",$E33*$H33)</f>
        <v/>
      </c>
      <c r="K33" s="59" t="str">
        <f aca="false">IF($E33="","",$E33*参数配置!$B$7)</f>
        <v/>
      </c>
      <c r="L33" s="59" t="str">
        <f aca="false">IF($E33="","",参数配置!$B$8)</f>
        <v/>
      </c>
      <c r="M33" s="59" t="str">
        <f aca="false">IF($E33="","",$E33*参数配置!$B$9)</f>
        <v/>
      </c>
      <c r="N33" s="59" t="str">
        <f aca="false">IF($E33="","",IF($E33&lt;=参数配置!$B$11,$E33*参数配置!$B$10,0))</f>
        <v/>
      </c>
      <c r="O33" s="59" t="str">
        <f aca="false">IF($E33="","",$E33*$G33)</f>
        <v/>
      </c>
      <c r="P33" s="59" t="str">
        <f aca="false">IF($E33="","",$E33*参数配置!$B$14)</f>
        <v/>
      </c>
      <c r="Q33" s="59" t="str">
        <f aca="false">IF($E33="","",$E33*参数配置!$B$15)</f>
        <v/>
      </c>
      <c r="R33" s="59" t="str">
        <f aca="false">IF($E33="","",$I33+$F33+$J33+$K33+$L33+$M33+$N33+$O33+$P33+$Q33)</f>
        <v/>
      </c>
      <c r="S33" s="59" t="str">
        <f aca="false">IF($E33="","",$E33-$R33)</f>
        <v/>
      </c>
      <c r="T33" s="60" t="str">
        <f aca="false">IF(OR($E33="",$E33=0),"",$S33/$E33)</f>
        <v/>
      </c>
      <c r="U33" s="61" t="str">
        <f aca="false">IF($E33="","",$S33*参数配置!$B$5)</f>
        <v/>
      </c>
      <c r="V33" s="60" t="str">
        <f aca="false">IF($E33="","",1-$H33-参数配置!$B$7-参数配置!$B$9-$G33-参数配置!$B$14-参数配置!$B$15-IF($E33&lt;=参数配置!$B$11,参数配置!$B$10,0))</f>
        <v/>
      </c>
      <c r="W33" s="59" t="str">
        <f aca="false">IF($E33="","",$I33+$F33+$L33)</f>
        <v/>
      </c>
      <c r="X33" s="59" t="str">
        <f aca="false">IF($E33="","",IF($V33&gt;0,$W33/$V33,""))</f>
        <v/>
      </c>
      <c r="Y33" s="59" t="str">
        <f aca="false">IF($E33="","",IF(($V33-参数配置!$B$13)&gt;0,$W33/($V33-参数配置!$B$13),""))</f>
        <v/>
      </c>
      <c r="Z33" s="55" t="str">
        <f aca="false">IF($E33="","",IF(OR($C33="禁售",$C33="需资质"),"⛔"&amp;$C33&amp;"·不应进入利润表",IF($V33&lt;=0,"❗贡献率≤0·任何价都亏损",IF($E33&lt;$X33,"⛔低于保本价·亏损",IF($Y33="","⚠️目标不可达·需降本",IF($E33&lt;$Y33,"⚠️低于红线·未达目标利润率","✅达目标利润率"))))))</f>
        <v/>
      </c>
    </row>
  </sheetData>
  <mergeCells count="2">
    <mergeCell ref="A1:Z1"/>
    <mergeCell ref="A2:Z2"/>
  </mergeCells>
  <conditionalFormatting sqref="E4:E33">
    <cfRule type="expression" priority="2" aboveAverage="0" equalAverage="0" bottom="0" percent="0" rank="0" text="" dxfId="0">
      <formula>AND($E4&lt;&gt;"",ISNUMBER($X4),$E4&lt;$X4)</formula>
    </cfRule>
    <cfRule type="expression" priority="3" aboveAverage="0" equalAverage="0" bottom="0" percent="0" rank="0" text="" dxfId="5">
      <formula>AND($E4&lt;&gt;"",ISNUMBER($Y4),$E4&gt;=$X4,$E4&lt;$Y4)</formula>
    </cfRule>
  </conditionalFormatting>
  <conditionalFormatting sqref="T4:T33">
    <cfRule type="cellIs" priority="4" operator="lessThan" aboveAverage="0" equalAverage="0" bottom="0" percent="0" rank="0" text="" dxfId="3">
      <formula>0</formula>
    </cfRule>
  </conditionalFormatting>
  <conditionalFormatting sqref="S4:S33">
    <cfRule type="cellIs" priority="5" operator="lessThan" aboveAverage="0" equalAverage="0" bottom="0" percent="0" rank="0" text="" dxfId="3">
      <formula>0</formula>
    </cfRule>
  </conditionalFormatting>
  <conditionalFormatting sqref="Z4:Z33">
    <cfRule type="expression" priority="6" aboveAverage="0" equalAverage="0" bottom="0" percent="0" rank="0" text="" dxfId="3">
      <formula>OR(ISNUMBER(SEARCH("⛔",$Z4)),ISNUMBER(SEARCH("❗",$Z4)))</formula>
    </cfRule>
    <cfRule type="expression" priority="7" aboveAverage="0" equalAverage="0" bottom="0" percent="0" rank="0" text="" dxfId="6">
      <formula>ISNUMBER(SEARCH("⚠",$Z4))</formula>
    </cfRule>
    <cfRule type="expression" priority="8" aboveAverage="0" equalAverage="0" bottom="0" percent="0" rank="0" text="" dxfId="4">
      <formula>ISNUMBER(SEARCH("✅",$Z4))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18.2"/>
    <col collapsed="false" customWidth="true" hidden="false" outlineLevel="0" max="9" min="3" style="0" width="8.19"/>
    <col collapsed="false" customWidth="true" hidden="false" outlineLevel="0" max="10" min="10" style="0" width="11.83"/>
    <col collapsed="false" customWidth="true" hidden="false" outlineLevel="0" max="11" min="11" style="0" width="8.19"/>
    <col collapsed="false" customWidth="true" hidden="false" outlineLevel="0" max="13" min="12" style="0" width="9.1"/>
    <col collapsed="false" customWidth="true" hidden="false" outlineLevel="0" max="14" min="14" style="0" width="11.83"/>
    <col collapsed="false" customWidth="true" hidden="false" outlineLevel="0" max="15" min="15" style="0" width="36.39"/>
    <col collapsed="false" customWidth="true" hidden="false" outlineLevel="0" max="16" min="16" style="0" width="21.84"/>
  </cols>
  <sheetData>
    <row r="1" customFormat="false" ht="25.5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9.75" hidden="false" customHeight="true" outlineLevel="0" collapsed="false">
      <c r="A3" s="31" t="s">
        <v>92</v>
      </c>
      <c r="B3" s="31" t="s">
        <v>93</v>
      </c>
      <c r="C3" s="31" t="s">
        <v>177</v>
      </c>
      <c r="D3" s="31" t="s">
        <v>178</v>
      </c>
      <c r="E3" s="31" t="s">
        <v>179</v>
      </c>
      <c r="F3" s="31" t="s">
        <v>180</v>
      </c>
      <c r="G3" s="31" t="s">
        <v>181</v>
      </c>
      <c r="H3" s="31" t="s">
        <v>182</v>
      </c>
      <c r="I3" s="31" t="s">
        <v>183</v>
      </c>
      <c r="J3" s="31" t="s">
        <v>184</v>
      </c>
      <c r="K3" s="31" t="s">
        <v>185</v>
      </c>
      <c r="L3" s="31" t="s">
        <v>186</v>
      </c>
      <c r="M3" s="31" t="s">
        <v>187</v>
      </c>
      <c r="N3" s="31" t="s">
        <v>188</v>
      </c>
      <c r="O3" s="31" t="s">
        <v>189</v>
      </c>
      <c r="P3" s="31" t="s">
        <v>190</v>
      </c>
    </row>
    <row r="4" customFormat="false" ht="15" hidden="false" customHeight="false" outlineLevel="0" collapsed="false">
      <c r="A4" s="40" t="s">
        <v>105</v>
      </c>
      <c r="B4" s="49" t="str">
        <f aca="false">IFERROR(VLOOKUP($A4,SKU主表!$A:$M,2,0),"")</f>
        <v>印花头巾 Hijab Bawal Printed</v>
      </c>
      <c r="C4" s="37" t="n">
        <v>5000</v>
      </c>
      <c r="D4" s="37" t="n">
        <v>400</v>
      </c>
      <c r="E4" s="37" t="n">
        <v>120</v>
      </c>
      <c r="F4" s="37" t="n">
        <v>36</v>
      </c>
      <c r="G4" s="37" t="n">
        <v>2</v>
      </c>
      <c r="H4" s="60" t="n">
        <f aca="false">IFERROR($D4/$C4,"")</f>
        <v>0.08</v>
      </c>
      <c r="I4" s="60" t="n">
        <f aca="false">IFERROR($E4/$D4,"")</f>
        <v>0.3</v>
      </c>
      <c r="J4" s="60" t="n">
        <f aca="false">IFERROR($F4/$E4,"")</f>
        <v>0.3</v>
      </c>
      <c r="K4" s="60" t="n">
        <f aca="false">IFERROR($G4/$F4,"")</f>
        <v>0.0555555555555556</v>
      </c>
      <c r="L4" s="64" t="str">
        <f aca="false">IF($C4="","",IF($C4&gt;=参数配置!$B$19,"高流量","低流量"))</f>
        <v>高流量</v>
      </c>
      <c r="M4" s="64" t="str">
        <f aca="false">IF($J4="","",IF($J4&gt;=参数配置!$B$20,"高转化","低转化"))</f>
        <v>高转化</v>
      </c>
      <c r="N4" s="51" t="str">
        <f aca="false">IF(OR($L4="",$M4=""),"",$L4&amp;$M4)</f>
        <v>高流量高转化</v>
      </c>
      <c r="O4" s="7" t="str">
        <f aca="false">IF($N4="","",IF($N4="高流量高转化","主推：加库存/上活动/扩达人/试投流",IF($N4="高流量低转化","查转化：价格/运费/优惠券/主图/详情/评价/客服",IF($N4="低流量高转化","加曝光：达人/短视频/直播/商城活动+秒杀",IF($N4="低流量低转化","下架或改图改标题重测/放弃","")))))</f>
        <v>主推：加库存/上活动/扩达人/试投流</v>
      </c>
      <c r="P4" s="7" t="str">
        <f aca="false">IF($K4="","",IF($K4&gt;参数配置!$B$21,"⚠️退款率偏高·查质量/尺码/物流",""))</f>
        <v/>
      </c>
    </row>
    <row r="5" customFormat="false" ht="28.35" hidden="false" customHeight="false" outlineLevel="0" collapsed="false">
      <c r="A5" s="40" t="s">
        <v>115</v>
      </c>
      <c r="B5" s="49" t="str">
        <f aca="false">IFERROR(VLOOKUP($A5,SKU主表!$A:$M,2,0),"")</f>
        <v>折叠除湿盒 Kotak Penyahlembap</v>
      </c>
      <c r="C5" s="37" t="n">
        <v>600</v>
      </c>
      <c r="D5" s="37" t="n">
        <v>60</v>
      </c>
      <c r="E5" s="37" t="n">
        <v>12</v>
      </c>
      <c r="F5" s="37" t="n">
        <v>4</v>
      </c>
      <c r="G5" s="37" t="n">
        <v>1</v>
      </c>
      <c r="H5" s="60" t="n">
        <f aca="false">IFERROR($D5/$C5,"")</f>
        <v>0.1</v>
      </c>
      <c r="I5" s="60" t="n">
        <f aca="false">IFERROR($E5/$D5,"")</f>
        <v>0.2</v>
      </c>
      <c r="J5" s="60" t="n">
        <f aca="false">IFERROR($F5/$E5,"")</f>
        <v>0.333333333333333</v>
      </c>
      <c r="K5" s="60" t="n">
        <f aca="false">IFERROR($G5/$F5,"")</f>
        <v>0.25</v>
      </c>
      <c r="L5" s="64" t="str">
        <f aca="false">IF($C5="","",IF($C5&gt;=参数配置!$B$19,"高流量","低流量"))</f>
        <v>低流量</v>
      </c>
      <c r="M5" s="64" t="str">
        <f aca="false">IF($J5="","",IF($J5&gt;=参数配置!$B$20,"高转化","低转化"))</f>
        <v>高转化</v>
      </c>
      <c r="N5" s="51" t="str">
        <f aca="false">IF(OR($L5="",$M5=""),"",$L5&amp;$M5)</f>
        <v>低流量高转化</v>
      </c>
      <c r="O5" s="7" t="str">
        <f aca="false">IF($N5="","",IF($N5="高流量高转化","主推：加库存/上活动/扩达人/试投流",IF($N5="高流量低转化","查转化：价格/运费/优惠券/主图/详情/评价/客服",IF($N5="低流量高转化","加曝光：达人/短视频/直播/商城活动+秒杀",IF($N5="低流量低转化","下架或改图改标题重测/放弃","")))))</f>
        <v>加曝光：达人/短视频/直播/商城活动+秒杀</v>
      </c>
      <c r="P5" s="7" t="str">
        <f aca="false">IF($K5="","",IF($K5&gt;参数配置!$B$21,"⚠️退款率偏高·查质量/尺码/物流",""))</f>
        <v>⚠️退款率偏高·查质量/尺码/物流</v>
      </c>
    </row>
    <row r="6" customFormat="false" ht="15" hidden="false" customHeight="false" outlineLevel="0" collapsed="false">
      <c r="A6" s="40" t="s">
        <v>105</v>
      </c>
      <c r="B6" s="49" t="str">
        <f aca="false">IFERROR(VLOOKUP($A6,SKU主表!$A:$M,2,0),"")</f>
        <v>印花头巾 Hijab Bawal Printed</v>
      </c>
      <c r="C6" s="37" t="n">
        <v>9000</v>
      </c>
      <c r="D6" s="37" t="n">
        <v>300</v>
      </c>
      <c r="E6" s="37" t="n">
        <v>40</v>
      </c>
      <c r="F6" s="37" t="n">
        <v>1</v>
      </c>
      <c r="G6" s="37" t="n">
        <v>0</v>
      </c>
      <c r="H6" s="60" t="n">
        <f aca="false">IFERROR($D6/$C6,"")</f>
        <v>0.0333333333333333</v>
      </c>
      <c r="I6" s="60" t="n">
        <f aca="false">IFERROR($E6/$D6,"")</f>
        <v>0.133333333333333</v>
      </c>
      <c r="J6" s="60" t="n">
        <f aca="false">IFERROR($F6/$E6,"")</f>
        <v>0.025</v>
      </c>
      <c r="K6" s="60" t="n">
        <f aca="false">IFERROR($G6/$F6,"")</f>
        <v>0</v>
      </c>
      <c r="L6" s="64" t="str">
        <f aca="false">IF($C6="","",IF($C6&gt;=参数配置!$B$19,"高流量","低流量"))</f>
        <v>高流量</v>
      </c>
      <c r="M6" s="64" t="str">
        <f aca="false">IF($J6="","",IF($J6&gt;=参数配置!$B$20,"高转化","低转化"))</f>
        <v>低转化</v>
      </c>
      <c r="N6" s="51" t="str">
        <f aca="false">IF(OR($L6="",$M6=""),"",$L6&amp;$M6)</f>
        <v>高流量低转化</v>
      </c>
      <c r="O6" s="7" t="str">
        <f aca="false">IF($N6="","",IF($N6="高流量高转化","主推：加库存/上活动/扩达人/试投流",IF($N6="高流量低转化","查转化：价格/运费/优惠券/主图/详情/评价/客服",IF($N6="低流量高转化","加曝光：达人/短视频/直播/商城活动+秒杀",IF($N6="低流量低转化","下架或改图改标题重测/放弃","")))))</f>
        <v>查转化：价格/运费/优惠券/主图/详情/评价/客服</v>
      </c>
      <c r="P6" s="7" t="str">
        <f aca="false">IF($K6="","",IF($K6&gt;参数配置!$B$21,"⚠️退款率偏高·查质量/尺码/物流",""))</f>
        <v/>
      </c>
    </row>
    <row r="7" customFormat="false" ht="15" hidden="false" customHeight="false" outlineLevel="0" collapsed="false">
      <c r="A7" s="40" t="s">
        <v>115</v>
      </c>
      <c r="B7" s="49" t="str">
        <f aca="false">IFERROR(VLOOKUP($A7,SKU主表!$A:$M,2,0),"")</f>
        <v>折叠除湿盒 Kotak Penyahlembap</v>
      </c>
      <c r="C7" s="37" t="n">
        <v>500</v>
      </c>
      <c r="D7" s="37" t="n">
        <v>40</v>
      </c>
      <c r="E7" s="37" t="n">
        <v>5</v>
      </c>
      <c r="F7" s="37" t="n">
        <v>0</v>
      </c>
      <c r="G7" s="37" t="n">
        <v>0</v>
      </c>
      <c r="H7" s="60" t="n">
        <f aca="false">IFERROR($D7/$C7,"")</f>
        <v>0.08</v>
      </c>
      <c r="I7" s="60" t="n">
        <f aca="false">IFERROR($E7/$D7,"")</f>
        <v>0.125</v>
      </c>
      <c r="J7" s="60" t="n">
        <f aca="false">IFERROR($F7/$E7,"")</f>
        <v>0</v>
      </c>
      <c r="K7" s="60" t="str">
        <f aca="false">IFERROR($G7/$F7,"")</f>
        <v/>
      </c>
      <c r="L7" s="64" t="str">
        <f aca="false">IF($C7="","",IF($C7&gt;=参数配置!$B$19,"高流量","低流量"))</f>
        <v>低流量</v>
      </c>
      <c r="M7" s="64" t="str">
        <f aca="false">IF($J7="","",IF($J7&gt;=参数配置!$B$20,"高转化","低转化"))</f>
        <v>低转化</v>
      </c>
      <c r="N7" s="51" t="str">
        <f aca="false">IF(OR($L7="",$M7=""),"",$L7&amp;$M7)</f>
        <v>低流量低转化</v>
      </c>
      <c r="O7" s="7" t="str">
        <f aca="false">IF($N7="","",IF($N7="高流量高转化","主推：加库存/上活动/扩达人/试投流",IF($N7="高流量低转化","查转化：价格/运费/优惠券/主图/详情/评价/客服",IF($N7="低流量高转化","加曝光：达人/短视频/直播/商城活动+秒杀",IF($N7="低流量低转化","下架或改图改标题重测/放弃","")))))</f>
        <v>下架或改图改标题重测/放弃</v>
      </c>
      <c r="P7" s="7" t="str">
        <f aca="false">IF($K7="","",IF($K7&gt;参数配置!$B$21,"⚠️退款率偏高·查质量/尺码/物流",""))</f>
        <v/>
      </c>
    </row>
    <row r="8" customFormat="false" ht="15" hidden="false" customHeight="false" outlineLevel="0" collapsed="false">
      <c r="A8" s="44"/>
      <c r="B8" s="49" t="str">
        <f aca="false">IFERROR(VLOOKUP($A8,SKU主表!$A:$M,2,0),"")</f>
        <v/>
      </c>
      <c r="C8" s="43"/>
      <c r="D8" s="43"/>
      <c r="E8" s="43"/>
      <c r="F8" s="43"/>
      <c r="G8" s="43"/>
      <c r="H8" s="60" t="str">
        <f aca="false">IFERROR($D8/$C8,"")</f>
        <v/>
      </c>
      <c r="I8" s="60" t="str">
        <f aca="false">IFERROR($E8/$D8,"")</f>
        <v/>
      </c>
      <c r="J8" s="60" t="str">
        <f aca="false">IFERROR($F8/$E8,"")</f>
        <v/>
      </c>
      <c r="K8" s="60" t="str">
        <f aca="false">IFERROR($G8/$F8,"")</f>
        <v/>
      </c>
      <c r="L8" s="64" t="str">
        <f aca="false">IF($C8="","",IF($C8&gt;=参数配置!$B$19,"高流量","低流量"))</f>
        <v/>
      </c>
      <c r="M8" s="64" t="str">
        <f aca="false">IF($J8="","",IF($J8&gt;=参数配置!$B$20,"高转化","低转化"))</f>
        <v/>
      </c>
      <c r="N8" s="51" t="str">
        <f aca="false">IF(OR($L8="",$M8=""),"",$L8&amp;$M8)</f>
        <v/>
      </c>
      <c r="O8" s="7" t="str">
        <f aca="false">IF($N8="","",IF($N8="高流量高转化","主推：加库存/上活动/扩达人/试投流",IF($N8="高流量低转化","查转化：价格/运费/优惠券/主图/详情/评价/客服",IF($N8="低流量高转化","加曝光：达人/短视频/直播/商城活动+秒杀",IF($N8="低流量低转化","下架或改图改标题重测/放弃","")))))</f>
        <v/>
      </c>
      <c r="P8" s="7" t="str">
        <f aca="false">IF($K8="","",IF($K8&gt;参数配置!$B$21,"⚠️退款率偏高·查质量/尺码/物流",""))</f>
        <v/>
      </c>
    </row>
    <row r="9" customFormat="false" ht="15" hidden="false" customHeight="false" outlineLevel="0" collapsed="false">
      <c r="A9" s="44"/>
      <c r="B9" s="49" t="str">
        <f aca="false">IFERROR(VLOOKUP($A9,SKU主表!$A:$M,2,0),"")</f>
        <v/>
      </c>
      <c r="C9" s="43"/>
      <c r="D9" s="43"/>
      <c r="E9" s="43"/>
      <c r="F9" s="43"/>
      <c r="G9" s="43"/>
      <c r="H9" s="60" t="str">
        <f aca="false">IFERROR($D9/$C9,"")</f>
        <v/>
      </c>
      <c r="I9" s="60" t="str">
        <f aca="false">IFERROR($E9/$D9,"")</f>
        <v/>
      </c>
      <c r="J9" s="60" t="str">
        <f aca="false">IFERROR($F9/$E9,"")</f>
        <v/>
      </c>
      <c r="K9" s="60" t="str">
        <f aca="false">IFERROR($G9/$F9,"")</f>
        <v/>
      </c>
      <c r="L9" s="64" t="str">
        <f aca="false">IF($C9="","",IF($C9&gt;=参数配置!$B$19,"高流量","低流量"))</f>
        <v/>
      </c>
      <c r="M9" s="64" t="str">
        <f aca="false">IF($J9="","",IF($J9&gt;=参数配置!$B$20,"高转化","低转化"))</f>
        <v/>
      </c>
      <c r="N9" s="51" t="str">
        <f aca="false">IF(OR($L9="",$M9=""),"",$L9&amp;$M9)</f>
        <v/>
      </c>
      <c r="O9" s="7" t="str">
        <f aca="false">IF($N9="","",IF($N9="高流量高转化","主推：加库存/上活动/扩达人/试投流",IF($N9="高流量低转化","查转化：价格/运费/优惠券/主图/详情/评价/客服",IF($N9="低流量高转化","加曝光：达人/短视频/直播/商城活动+秒杀",IF($N9="低流量低转化","下架或改图改标题重测/放弃","")))))</f>
        <v/>
      </c>
      <c r="P9" s="7" t="str">
        <f aca="false">IF($K9="","",IF($K9&gt;参数配置!$B$21,"⚠️退款率偏高·查质量/尺码/物流",""))</f>
        <v/>
      </c>
    </row>
    <row r="10" customFormat="false" ht="15" hidden="false" customHeight="false" outlineLevel="0" collapsed="false">
      <c r="A10" s="44"/>
      <c r="B10" s="49" t="str">
        <f aca="false">IFERROR(VLOOKUP($A10,SKU主表!$A:$M,2,0),"")</f>
        <v/>
      </c>
      <c r="C10" s="43"/>
      <c r="D10" s="43"/>
      <c r="E10" s="43"/>
      <c r="F10" s="43"/>
      <c r="G10" s="43"/>
      <c r="H10" s="60" t="str">
        <f aca="false">IFERROR($D10/$C10,"")</f>
        <v/>
      </c>
      <c r="I10" s="60" t="str">
        <f aca="false">IFERROR($E10/$D10,"")</f>
        <v/>
      </c>
      <c r="J10" s="60" t="str">
        <f aca="false">IFERROR($F10/$E10,"")</f>
        <v/>
      </c>
      <c r="K10" s="60" t="str">
        <f aca="false">IFERROR($G10/$F10,"")</f>
        <v/>
      </c>
      <c r="L10" s="64" t="str">
        <f aca="false">IF($C10="","",IF($C10&gt;=参数配置!$B$19,"高流量","低流量"))</f>
        <v/>
      </c>
      <c r="M10" s="64" t="str">
        <f aca="false">IF($J10="","",IF($J10&gt;=参数配置!$B$20,"高转化","低转化"))</f>
        <v/>
      </c>
      <c r="N10" s="51" t="str">
        <f aca="false">IF(OR($L10="",$M10=""),"",$L10&amp;$M10)</f>
        <v/>
      </c>
      <c r="O10" s="7" t="str">
        <f aca="false">IF($N10="","",IF($N10="高流量高转化","主推：加库存/上活动/扩达人/试投流",IF($N10="高流量低转化","查转化：价格/运费/优惠券/主图/详情/评价/客服",IF($N10="低流量高转化","加曝光：达人/短视频/直播/商城活动+秒杀",IF($N10="低流量低转化","下架或改图改标题重测/放弃","")))))</f>
        <v/>
      </c>
      <c r="P10" s="7" t="str">
        <f aca="false">IF($K10="","",IF($K10&gt;参数配置!$B$21,"⚠️退款率偏高·查质量/尺码/物流",""))</f>
        <v/>
      </c>
    </row>
    <row r="11" customFormat="false" ht="15" hidden="false" customHeight="false" outlineLevel="0" collapsed="false">
      <c r="A11" s="44"/>
      <c r="B11" s="49" t="str">
        <f aca="false">IFERROR(VLOOKUP($A11,SKU主表!$A:$M,2,0),"")</f>
        <v/>
      </c>
      <c r="C11" s="43"/>
      <c r="D11" s="43"/>
      <c r="E11" s="43"/>
      <c r="F11" s="43"/>
      <c r="G11" s="43"/>
      <c r="H11" s="60" t="str">
        <f aca="false">IFERROR($D11/$C11,"")</f>
        <v/>
      </c>
      <c r="I11" s="60" t="str">
        <f aca="false">IFERROR($E11/$D11,"")</f>
        <v/>
      </c>
      <c r="J11" s="60" t="str">
        <f aca="false">IFERROR($F11/$E11,"")</f>
        <v/>
      </c>
      <c r="K11" s="60" t="str">
        <f aca="false">IFERROR($G11/$F11,"")</f>
        <v/>
      </c>
      <c r="L11" s="64" t="str">
        <f aca="false">IF($C11="","",IF($C11&gt;=参数配置!$B$19,"高流量","低流量"))</f>
        <v/>
      </c>
      <c r="M11" s="64" t="str">
        <f aca="false">IF($J11="","",IF($J11&gt;=参数配置!$B$20,"高转化","低转化"))</f>
        <v/>
      </c>
      <c r="N11" s="51" t="str">
        <f aca="false">IF(OR($L11="",$M11=""),"",$L11&amp;$M11)</f>
        <v/>
      </c>
      <c r="O11" s="7" t="str">
        <f aca="false">IF($N11="","",IF($N11="高流量高转化","主推：加库存/上活动/扩达人/试投流",IF($N11="高流量低转化","查转化：价格/运费/优惠券/主图/详情/评价/客服",IF($N11="低流量高转化","加曝光：达人/短视频/直播/商城活动+秒杀",IF($N11="低流量低转化","下架或改图改标题重测/放弃","")))))</f>
        <v/>
      </c>
      <c r="P11" s="7" t="str">
        <f aca="false">IF($K11="","",IF($K11&gt;参数配置!$B$21,"⚠️退款率偏高·查质量/尺码/物流",""))</f>
        <v/>
      </c>
    </row>
    <row r="12" customFormat="false" ht="15" hidden="false" customHeight="false" outlineLevel="0" collapsed="false">
      <c r="A12" s="44"/>
      <c r="B12" s="49" t="str">
        <f aca="false">IFERROR(VLOOKUP($A12,SKU主表!$A:$M,2,0),"")</f>
        <v/>
      </c>
      <c r="C12" s="43"/>
      <c r="D12" s="43"/>
      <c r="E12" s="43"/>
      <c r="F12" s="43"/>
      <c r="G12" s="43"/>
      <c r="H12" s="60" t="str">
        <f aca="false">IFERROR($D12/$C12,"")</f>
        <v/>
      </c>
      <c r="I12" s="60" t="str">
        <f aca="false">IFERROR($E12/$D12,"")</f>
        <v/>
      </c>
      <c r="J12" s="60" t="str">
        <f aca="false">IFERROR($F12/$E12,"")</f>
        <v/>
      </c>
      <c r="K12" s="60" t="str">
        <f aca="false">IFERROR($G12/$F12,"")</f>
        <v/>
      </c>
      <c r="L12" s="64" t="str">
        <f aca="false">IF($C12="","",IF($C12&gt;=参数配置!$B$19,"高流量","低流量"))</f>
        <v/>
      </c>
      <c r="M12" s="64" t="str">
        <f aca="false">IF($J12="","",IF($J12&gt;=参数配置!$B$20,"高转化","低转化"))</f>
        <v/>
      </c>
      <c r="N12" s="51" t="str">
        <f aca="false">IF(OR($L12="",$M12=""),"",$L12&amp;$M12)</f>
        <v/>
      </c>
      <c r="O12" s="7" t="str">
        <f aca="false">IF($N12="","",IF($N12="高流量高转化","主推：加库存/上活动/扩达人/试投流",IF($N12="高流量低转化","查转化：价格/运费/优惠券/主图/详情/评价/客服",IF($N12="低流量高转化","加曝光：达人/短视频/直播/商城活动+秒杀",IF($N12="低流量低转化","下架或改图改标题重测/放弃","")))))</f>
        <v/>
      </c>
      <c r="P12" s="7" t="str">
        <f aca="false">IF($K12="","",IF($K12&gt;参数配置!$B$21,"⚠️退款率偏高·查质量/尺码/物流",""))</f>
        <v/>
      </c>
    </row>
    <row r="13" customFormat="false" ht="15" hidden="false" customHeight="false" outlineLevel="0" collapsed="false">
      <c r="A13" s="44"/>
      <c r="B13" s="49" t="str">
        <f aca="false">IFERROR(VLOOKUP($A13,SKU主表!$A:$M,2,0),"")</f>
        <v/>
      </c>
      <c r="C13" s="43"/>
      <c r="D13" s="43"/>
      <c r="E13" s="43"/>
      <c r="F13" s="43"/>
      <c r="G13" s="43"/>
      <c r="H13" s="60" t="str">
        <f aca="false">IFERROR($D13/$C13,"")</f>
        <v/>
      </c>
      <c r="I13" s="60" t="str">
        <f aca="false">IFERROR($E13/$D13,"")</f>
        <v/>
      </c>
      <c r="J13" s="60" t="str">
        <f aca="false">IFERROR($F13/$E13,"")</f>
        <v/>
      </c>
      <c r="K13" s="60" t="str">
        <f aca="false">IFERROR($G13/$F13,"")</f>
        <v/>
      </c>
      <c r="L13" s="64" t="str">
        <f aca="false">IF($C13="","",IF($C13&gt;=参数配置!$B$19,"高流量","低流量"))</f>
        <v/>
      </c>
      <c r="M13" s="64" t="str">
        <f aca="false">IF($J13="","",IF($J13&gt;=参数配置!$B$20,"高转化","低转化"))</f>
        <v/>
      </c>
      <c r="N13" s="51" t="str">
        <f aca="false">IF(OR($L13="",$M13=""),"",$L13&amp;$M13)</f>
        <v/>
      </c>
      <c r="O13" s="7" t="str">
        <f aca="false">IF($N13="","",IF($N13="高流量高转化","主推：加库存/上活动/扩达人/试投流",IF($N13="高流量低转化","查转化：价格/运费/优惠券/主图/详情/评价/客服",IF($N13="低流量高转化","加曝光：达人/短视频/直播/商城活动+秒杀",IF($N13="低流量低转化","下架或改图改标题重测/放弃","")))))</f>
        <v/>
      </c>
      <c r="P13" s="7" t="str">
        <f aca="false">IF($K13="","",IF($K13&gt;参数配置!$B$21,"⚠️退款率偏高·查质量/尺码/物流",""))</f>
        <v/>
      </c>
    </row>
    <row r="14" customFormat="false" ht="15" hidden="false" customHeight="false" outlineLevel="0" collapsed="false">
      <c r="A14" s="44"/>
      <c r="B14" s="49" t="str">
        <f aca="false">IFERROR(VLOOKUP($A14,SKU主表!$A:$M,2,0),"")</f>
        <v/>
      </c>
      <c r="C14" s="43"/>
      <c r="D14" s="43"/>
      <c r="E14" s="43"/>
      <c r="F14" s="43"/>
      <c r="G14" s="43"/>
      <c r="H14" s="60" t="str">
        <f aca="false">IFERROR($D14/$C14,"")</f>
        <v/>
      </c>
      <c r="I14" s="60" t="str">
        <f aca="false">IFERROR($E14/$D14,"")</f>
        <v/>
      </c>
      <c r="J14" s="60" t="str">
        <f aca="false">IFERROR($F14/$E14,"")</f>
        <v/>
      </c>
      <c r="K14" s="60" t="str">
        <f aca="false">IFERROR($G14/$F14,"")</f>
        <v/>
      </c>
      <c r="L14" s="64" t="str">
        <f aca="false">IF($C14="","",IF($C14&gt;=参数配置!$B$19,"高流量","低流量"))</f>
        <v/>
      </c>
      <c r="M14" s="64" t="str">
        <f aca="false">IF($J14="","",IF($J14&gt;=参数配置!$B$20,"高转化","低转化"))</f>
        <v/>
      </c>
      <c r="N14" s="51" t="str">
        <f aca="false">IF(OR($L14="",$M14=""),"",$L14&amp;$M14)</f>
        <v/>
      </c>
      <c r="O14" s="7" t="str">
        <f aca="false">IF($N14="","",IF($N14="高流量高转化","主推：加库存/上活动/扩达人/试投流",IF($N14="高流量低转化","查转化：价格/运费/优惠券/主图/详情/评价/客服",IF($N14="低流量高转化","加曝光：达人/短视频/直播/商城活动+秒杀",IF($N14="低流量低转化","下架或改图改标题重测/放弃","")))))</f>
        <v/>
      </c>
      <c r="P14" s="7" t="str">
        <f aca="false">IF($K14="","",IF($K14&gt;参数配置!$B$21,"⚠️退款率偏高·查质量/尺码/物流",""))</f>
        <v/>
      </c>
    </row>
    <row r="15" customFormat="false" ht="15" hidden="false" customHeight="false" outlineLevel="0" collapsed="false">
      <c r="A15" s="44"/>
      <c r="B15" s="49" t="str">
        <f aca="false">IFERROR(VLOOKUP($A15,SKU主表!$A:$M,2,0),"")</f>
        <v/>
      </c>
      <c r="C15" s="43"/>
      <c r="D15" s="43"/>
      <c r="E15" s="43"/>
      <c r="F15" s="43"/>
      <c r="G15" s="43"/>
      <c r="H15" s="60" t="str">
        <f aca="false">IFERROR($D15/$C15,"")</f>
        <v/>
      </c>
      <c r="I15" s="60" t="str">
        <f aca="false">IFERROR($E15/$D15,"")</f>
        <v/>
      </c>
      <c r="J15" s="60" t="str">
        <f aca="false">IFERROR($F15/$E15,"")</f>
        <v/>
      </c>
      <c r="K15" s="60" t="str">
        <f aca="false">IFERROR($G15/$F15,"")</f>
        <v/>
      </c>
      <c r="L15" s="64" t="str">
        <f aca="false">IF($C15="","",IF($C15&gt;=参数配置!$B$19,"高流量","低流量"))</f>
        <v/>
      </c>
      <c r="M15" s="64" t="str">
        <f aca="false">IF($J15="","",IF($J15&gt;=参数配置!$B$20,"高转化","低转化"))</f>
        <v/>
      </c>
      <c r="N15" s="51" t="str">
        <f aca="false">IF(OR($L15="",$M15=""),"",$L15&amp;$M15)</f>
        <v/>
      </c>
      <c r="O15" s="7" t="str">
        <f aca="false">IF($N15="","",IF($N15="高流量高转化","主推：加库存/上活动/扩达人/试投流",IF($N15="高流量低转化","查转化：价格/运费/优惠券/主图/详情/评价/客服",IF($N15="低流量高转化","加曝光：达人/短视频/直播/商城活动+秒杀",IF($N15="低流量低转化","下架或改图改标题重测/放弃","")))))</f>
        <v/>
      </c>
      <c r="P15" s="7" t="str">
        <f aca="false">IF($K15="","",IF($K15&gt;参数配置!$B$21,"⚠️退款率偏高·查质量/尺码/物流",""))</f>
        <v/>
      </c>
    </row>
    <row r="16" customFormat="false" ht="15" hidden="false" customHeight="false" outlineLevel="0" collapsed="false">
      <c r="A16" s="44"/>
      <c r="B16" s="49" t="str">
        <f aca="false">IFERROR(VLOOKUP($A16,SKU主表!$A:$M,2,0),"")</f>
        <v/>
      </c>
      <c r="C16" s="43"/>
      <c r="D16" s="43"/>
      <c r="E16" s="43"/>
      <c r="F16" s="43"/>
      <c r="G16" s="43"/>
      <c r="H16" s="60" t="str">
        <f aca="false">IFERROR($D16/$C16,"")</f>
        <v/>
      </c>
      <c r="I16" s="60" t="str">
        <f aca="false">IFERROR($E16/$D16,"")</f>
        <v/>
      </c>
      <c r="J16" s="60" t="str">
        <f aca="false">IFERROR($F16/$E16,"")</f>
        <v/>
      </c>
      <c r="K16" s="60" t="str">
        <f aca="false">IFERROR($G16/$F16,"")</f>
        <v/>
      </c>
      <c r="L16" s="64" t="str">
        <f aca="false">IF($C16="","",IF($C16&gt;=参数配置!$B$19,"高流量","低流量"))</f>
        <v/>
      </c>
      <c r="M16" s="64" t="str">
        <f aca="false">IF($J16="","",IF($J16&gt;=参数配置!$B$20,"高转化","低转化"))</f>
        <v/>
      </c>
      <c r="N16" s="51" t="str">
        <f aca="false">IF(OR($L16="",$M16=""),"",$L16&amp;$M16)</f>
        <v/>
      </c>
      <c r="O16" s="7" t="str">
        <f aca="false">IF($N16="","",IF($N16="高流量高转化","主推：加库存/上活动/扩达人/试投流",IF($N16="高流量低转化","查转化：价格/运费/优惠券/主图/详情/评价/客服",IF($N16="低流量高转化","加曝光：达人/短视频/直播/商城活动+秒杀",IF($N16="低流量低转化","下架或改图改标题重测/放弃","")))))</f>
        <v/>
      </c>
      <c r="P16" s="7" t="str">
        <f aca="false">IF($K16="","",IF($K16&gt;参数配置!$B$21,"⚠️退款率偏高·查质量/尺码/物流",""))</f>
        <v/>
      </c>
    </row>
    <row r="17" customFormat="false" ht="15" hidden="false" customHeight="false" outlineLevel="0" collapsed="false">
      <c r="A17" s="44"/>
      <c r="B17" s="49" t="str">
        <f aca="false">IFERROR(VLOOKUP($A17,SKU主表!$A:$M,2,0),"")</f>
        <v/>
      </c>
      <c r="C17" s="43"/>
      <c r="D17" s="43"/>
      <c r="E17" s="43"/>
      <c r="F17" s="43"/>
      <c r="G17" s="43"/>
      <c r="H17" s="60" t="str">
        <f aca="false">IFERROR($D17/$C17,"")</f>
        <v/>
      </c>
      <c r="I17" s="60" t="str">
        <f aca="false">IFERROR($E17/$D17,"")</f>
        <v/>
      </c>
      <c r="J17" s="60" t="str">
        <f aca="false">IFERROR($F17/$E17,"")</f>
        <v/>
      </c>
      <c r="K17" s="60" t="str">
        <f aca="false">IFERROR($G17/$F17,"")</f>
        <v/>
      </c>
      <c r="L17" s="64" t="str">
        <f aca="false">IF($C17="","",IF($C17&gt;=参数配置!$B$19,"高流量","低流量"))</f>
        <v/>
      </c>
      <c r="M17" s="64" t="str">
        <f aca="false">IF($J17="","",IF($J17&gt;=参数配置!$B$20,"高转化","低转化"))</f>
        <v/>
      </c>
      <c r="N17" s="51" t="str">
        <f aca="false">IF(OR($L17="",$M17=""),"",$L17&amp;$M17)</f>
        <v/>
      </c>
      <c r="O17" s="7" t="str">
        <f aca="false">IF($N17="","",IF($N17="高流量高转化","主推：加库存/上活动/扩达人/试投流",IF($N17="高流量低转化","查转化：价格/运费/优惠券/主图/详情/评价/客服",IF($N17="低流量高转化","加曝光：达人/短视频/直播/商城活动+秒杀",IF($N17="低流量低转化","下架或改图改标题重测/放弃","")))))</f>
        <v/>
      </c>
      <c r="P17" s="7" t="str">
        <f aca="false">IF($K17="","",IF($K17&gt;参数配置!$B$21,"⚠️退款率偏高·查质量/尺码/物流",""))</f>
        <v/>
      </c>
    </row>
    <row r="18" customFormat="false" ht="15" hidden="false" customHeight="false" outlineLevel="0" collapsed="false">
      <c r="A18" s="44"/>
      <c r="B18" s="49" t="str">
        <f aca="false">IFERROR(VLOOKUP($A18,SKU主表!$A:$M,2,0),"")</f>
        <v/>
      </c>
      <c r="C18" s="43"/>
      <c r="D18" s="43"/>
      <c r="E18" s="43"/>
      <c r="F18" s="43"/>
      <c r="G18" s="43"/>
      <c r="H18" s="60" t="str">
        <f aca="false">IFERROR($D18/$C18,"")</f>
        <v/>
      </c>
      <c r="I18" s="60" t="str">
        <f aca="false">IFERROR($E18/$D18,"")</f>
        <v/>
      </c>
      <c r="J18" s="60" t="str">
        <f aca="false">IFERROR($F18/$E18,"")</f>
        <v/>
      </c>
      <c r="K18" s="60" t="str">
        <f aca="false">IFERROR($G18/$F18,"")</f>
        <v/>
      </c>
      <c r="L18" s="64" t="str">
        <f aca="false">IF($C18="","",IF($C18&gt;=参数配置!$B$19,"高流量","低流量"))</f>
        <v/>
      </c>
      <c r="M18" s="64" t="str">
        <f aca="false">IF($J18="","",IF($J18&gt;=参数配置!$B$20,"高转化","低转化"))</f>
        <v/>
      </c>
      <c r="N18" s="51" t="str">
        <f aca="false">IF(OR($L18="",$M18=""),"",$L18&amp;$M18)</f>
        <v/>
      </c>
      <c r="O18" s="7" t="str">
        <f aca="false">IF($N18="","",IF($N18="高流量高转化","主推：加库存/上活动/扩达人/试投流",IF($N18="高流量低转化","查转化：价格/运费/优惠券/主图/详情/评价/客服",IF($N18="低流量高转化","加曝光：达人/短视频/直播/商城活动+秒杀",IF($N18="低流量低转化","下架或改图改标题重测/放弃","")))))</f>
        <v/>
      </c>
      <c r="P18" s="7" t="str">
        <f aca="false">IF($K18="","",IF($K18&gt;参数配置!$B$21,"⚠️退款率偏高·查质量/尺码/物流",""))</f>
        <v/>
      </c>
    </row>
    <row r="19" customFormat="false" ht="15" hidden="false" customHeight="false" outlineLevel="0" collapsed="false">
      <c r="A19" s="44"/>
      <c r="B19" s="49" t="str">
        <f aca="false">IFERROR(VLOOKUP($A19,SKU主表!$A:$M,2,0),"")</f>
        <v/>
      </c>
      <c r="C19" s="43"/>
      <c r="D19" s="43"/>
      <c r="E19" s="43"/>
      <c r="F19" s="43"/>
      <c r="G19" s="43"/>
      <c r="H19" s="60" t="str">
        <f aca="false">IFERROR($D19/$C19,"")</f>
        <v/>
      </c>
      <c r="I19" s="60" t="str">
        <f aca="false">IFERROR($E19/$D19,"")</f>
        <v/>
      </c>
      <c r="J19" s="60" t="str">
        <f aca="false">IFERROR($F19/$E19,"")</f>
        <v/>
      </c>
      <c r="K19" s="60" t="str">
        <f aca="false">IFERROR($G19/$F19,"")</f>
        <v/>
      </c>
      <c r="L19" s="64" t="str">
        <f aca="false">IF($C19="","",IF($C19&gt;=参数配置!$B$19,"高流量","低流量"))</f>
        <v/>
      </c>
      <c r="M19" s="64" t="str">
        <f aca="false">IF($J19="","",IF($J19&gt;=参数配置!$B$20,"高转化","低转化"))</f>
        <v/>
      </c>
      <c r="N19" s="51" t="str">
        <f aca="false">IF(OR($L19="",$M19=""),"",$L19&amp;$M19)</f>
        <v/>
      </c>
      <c r="O19" s="7" t="str">
        <f aca="false">IF($N19="","",IF($N19="高流量高转化","主推：加库存/上活动/扩达人/试投流",IF($N19="高流量低转化","查转化：价格/运费/优惠券/主图/详情/评价/客服",IF($N19="低流量高转化","加曝光：达人/短视频/直播/商城活动+秒杀",IF($N19="低流量低转化","下架或改图改标题重测/放弃","")))))</f>
        <v/>
      </c>
      <c r="P19" s="7" t="str">
        <f aca="false">IF($K19="","",IF($K19&gt;参数配置!$B$21,"⚠️退款率偏高·查质量/尺码/物流",""))</f>
        <v/>
      </c>
    </row>
    <row r="20" customFormat="false" ht="15" hidden="false" customHeight="false" outlineLevel="0" collapsed="false">
      <c r="A20" s="44"/>
      <c r="B20" s="49" t="str">
        <f aca="false">IFERROR(VLOOKUP($A20,SKU主表!$A:$M,2,0),"")</f>
        <v/>
      </c>
      <c r="C20" s="43"/>
      <c r="D20" s="43"/>
      <c r="E20" s="43"/>
      <c r="F20" s="43"/>
      <c r="G20" s="43"/>
      <c r="H20" s="60" t="str">
        <f aca="false">IFERROR($D20/$C20,"")</f>
        <v/>
      </c>
      <c r="I20" s="60" t="str">
        <f aca="false">IFERROR($E20/$D20,"")</f>
        <v/>
      </c>
      <c r="J20" s="60" t="str">
        <f aca="false">IFERROR($F20/$E20,"")</f>
        <v/>
      </c>
      <c r="K20" s="60" t="str">
        <f aca="false">IFERROR($G20/$F20,"")</f>
        <v/>
      </c>
      <c r="L20" s="64" t="str">
        <f aca="false">IF($C20="","",IF($C20&gt;=参数配置!$B$19,"高流量","低流量"))</f>
        <v/>
      </c>
      <c r="M20" s="64" t="str">
        <f aca="false">IF($J20="","",IF($J20&gt;=参数配置!$B$20,"高转化","低转化"))</f>
        <v/>
      </c>
      <c r="N20" s="51" t="str">
        <f aca="false">IF(OR($L20="",$M20=""),"",$L20&amp;$M20)</f>
        <v/>
      </c>
      <c r="O20" s="7" t="str">
        <f aca="false">IF($N20="","",IF($N20="高流量高转化","主推：加库存/上活动/扩达人/试投流",IF($N20="高流量低转化","查转化：价格/运费/优惠券/主图/详情/评价/客服",IF($N20="低流量高转化","加曝光：达人/短视频/直播/商城活动+秒杀",IF($N20="低流量低转化","下架或改图改标题重测/放弃","")))))</f>
        <v/>
      </c>
      <c r="P20" s="7" t="str">
        <f aca="false">IF($K20="","",IF($K20&gt;参数配置!$B$21,"⚠️退款率偏高·查质量/尺码/物流",""))</f>
        <v/>
      </c>
    </row>
    <row r="21" customFormat="false" ht="15" hidden="false" customHeight="false" outlineLevel="0" collapsed="false">
      <c r="A21" s="44"/>
      <c r="B21" s="49" t="str">
        <f aca="false">IFERROR(VLOOKUP($A21,SKU主表!$A:$M,2,0),"")</f>
        <v/>
      </c>
      <c r="C21" s="43"/>
      <c r="D21" s="43"/>
      <c r="E21" s="43"/>
      <c r="F21" s="43"/>
      <c r="G21" s="43"/>
      <c r="H21" s="60" t="str">
        <f aca="false">IFERROR($D21/$C21,"")</f>
        <v/>
      </c>
      <c r="I21" s="60" t="str">
        <f aca="false">IFERROR($E21/$D21,"")</f>
        <v/>
      </c>
      <c r="J21" s="60" t="str">
        <f aca="false">IFERROR($F21/$E21,"")</f>
        <v/>
      </c>
      <c r="K21" s="60" t="str">
        <f aca="false">IFERROR($G21/$F21,"")</f>
        <v/>
      </c>
      <c r="L21" s="64" t="str">
        <f aca="false">IF($C21="","",IF($C21&gt;=参数配置!$B$19,"高流量","低流量"))</f>
        <v/>
      </c>
      <c r="M21" s="64" t="str">
        <f aca="false">IF($J21="","",IF($J21&gt;=参数配置!$B$20,"高转化","低转化"))</f>
        <v/>
      </c>
      <c r="N21" s="51" t="str">
        <f aca="false">IF(OR($L21="",$M21=""),"",$L21&amp;$M21)</f>
        <v/>
      </c>
      <c r="O21" s="7" t="str">
        <f aca="false">IF($N21="","",IF($N21="高流量高转化","主推：加库存/上活动/扩达人/试投流",IF($N21="高流量低转化","查转化：价格/运费/优惠券/主图/详情/评价/客服",IF($N21="低流量高转化","加曝光：达人/短视频/直播/商城活动+秒杀",IF($N21="低流量低转化","下架或改图改标题重测/放弃","")))))</f>
        <v/>
      </c>
      <c r="P21" s="7" t="str">
        <f aca="false">IF($K21="","",IF($K21&gt;参数配置!$B$21,"⚠️退款率偏高·查质量/尺码/物流",""))</f>
        <v/>
      </c>
    </row>
    <row r="22" customFormat="false" ht="15" hidden="false" customHeight="false" outlineLevel="0" collapsed="false">
      <c r="A22" s="44"/>
      <c r="B22" s="49" t="str">
        <f aca="false">IFERROR(VLOOKUP($A22,SKU主表!$A:$M,2,0),"")</f>
        <v/>
      </c>
      <c r="C22" s="43"/>
      <c r="D22" s="43"/>
      <c r="E22" s="43"/>
      <c r="F22" s="43"/>
      <c r="G22" s="43"/>
      <c r="H22" s="60" t="str">
        <f aca="false">IFERROR($D22/$C22,"")</f>
        <v/>
      </c>
      <c r="I22" s="60" t="str">
        <f aca="false">IFERROR($E22/$D22,"")</f>
        <v/>
      </c>
      <c r="J22" s="60" t="str">
        <f aca="false">IFERROR($F22/$E22,"")</f>
        <v/>
      </c>
      <c r="K22" s="60" t="str">
        <f aca="false">IFERROR($G22/$F22,"")</f>
        <v/>
      </c>
      <c r="L22" s="64" t="str">
        <f aca="false">IF($C22="","",IF($C22&gt;=参数配置!$B$19,"高流量","低流量"))</f>
        <v/>
      </c>
      <c r="M22" s="64" t="str">
        <f aca="false">IF($J22="","",IF($J22&gt;=参数配置!$B$20,"高转化","低转化"))</f>
        <v/>
      </c>
      <c r="N22" s="51" t="str">
        <f aca="false">IF(OR($L22="",$M22=""),"",$L22&amp;$M22)</f>
        <v/>
      </c>
      <c r="O22" s="7" t="str">
        <f aca="false">IF($N22="","",IF($N22="高流量高转化","主推：加库存/上活动/扩达人/试投流",IF($N22="高流量低转化","查转化：价格/运费/优惠券/主图/详情/评价/客服",IF($N22="低流量高转化","加曝光：达人/短视频/直播/商城活动+秒杀",IF($N22="低流量低转化","下架或改图改标题重测/放弃","")))))</f>
        <v/>
      </c>
      <c r="P22" s="7" t="str">
        <f aca="false">IF($K22="","",IF($K22&gt;参数配置!$B$21,"⚠️退款率偏高·查质量/尺码/物流",""))</f>
        <v/>
      </c>
    </row>
    <row r="23" customFormat="false" ht="15" hidden="false" customHeight="false" outlineLevel="0" collapsed="false">
      <c r="A23" s="44"/>
      <c r="B23" s="49" t="str">
        <f aca="false">IFERROR(VLOOKUP($A23,SKU主表!$A:$M,2,0),"")</f>
        <v/>
      </c>
      <c r="C23" s="43"/>
      <c r="D23" s="43"/>
      <c r="E23" s="43"/>
      <c r="F23" s="43"/>
      <c r="G23" s="43"/>
      <c r="H23" s="60" t="str">
        <f aca="false">IFERROR($D23/$C23,"")</f>
        <v/>
      </c>
      <c r="I23" s="60" t="str">
        <f aca="false">IFERROR($E23/$D23,"")</f>
        <v/>
      </c>
      <c r="J23" s="60" t="str">
        <f aca="false">IFERROR($F23/$E23,"")</f>
        <v/>
      </c>
      <c r="K23" s="60" t="str">
        <f aca="false">IFERROR($G23/$F23,"")</f>
        <v/>
      </c>
      <c r="L23" s="64" t="str">
        <f aca="false">IF($C23="","",IF($C23&gt;=参数配置!$B$19,"高流量","低流量"))</f>
        <v/>
      </c>
      <c r="M23" s="64" t="str">
        <f aca="false">IF($J23="","",IF($J23&gt;=参数配置!$B$20,"高转化","低转化"))</f>
        <v/>
      </c>
      <c r="N23" s="51" t="str">
        <f aca="false">IF(OR($L23="",$M23=""),"",$L23&amp;$M23)</f>
        <v/>
      </c>
      <c r="O23" s="7" t="str">
        <f aca="false">IF($N23="","",IF($N23="高流量高转化","主推：加库存/上活动/扩达人/试投流",IF($N23="高流量低转化","查转化：价格/运费/优惠券/主图/详情/评价/客服",IF($N23="低流量高转化","加曝光：达人/短视频/直播/商城活动+秒杀",IF($N23="低流量低转化","下架或改图改标题重测/放弃","")))))</f>
        <v/>
      </c>
      <c r="P23" s="7" t="str">
        <f aca="false">IF($K23="","",IF($K23&gt;参数配置!$B$21,"⚠️退款率偏高·查质量/尺码/物流",""))</f>
        <v/>
      </c>
    </row>
    <row r="24" customFormat="false" ht="15" hidden="false" customHeight="false" outlineLevel="0" collapsed="false">
      <c r="A24" s="44"/>
      <c r="B24" s="49" t="str">
        <f aca="false">IFERROR(VLOOKUP($A24,SKU主表!$A:$M,2,0),"")</f>
        <v/>
      </c>
      <c r="C24" s="43"/>
      <c r="D24" s="43"/>
      <c r="E24" s="43"/>
      <c r="F24" s="43"/>
      <c r="G24" s="43"/>
      <c r="H24" s="60" t="str">
        <f aca="false">IFERROR($D24/$C24,"")</f>
        <v/>
      </c>
      <c r="I24" s="60" t="str">
        <f aca="false">IFERROR($E24/$D24,"")</f>
        <v/>
      </c>
      <c r="J24" s="60" t="str">
        <f aca="false">IFERROR($F24/$E24,"")</f>
        <v/>
      </c>
      <c r="K24" s="60" t="str">
        <f aca="false">IFERROR($G24/$F24,"")</f>
        <v/>
      </c>
      <c r="L24" s="64" t="str">
        <f aca="false">IF($C24="","",IF($C24&gt;=参数配置!$B$19,"高流量","低流量"))</f>
        <v/>
      </c>
      <c r="M24" s="64" t="str">
        <f aca="false">IF($J24="","",IF($J24&gt;=参数配置!$B$20,"高转化","低转化"))</f>
        <v/>
      </c>
      <c r="N24" s="51" t="str">
        <f aca="false">IF(OR($L24="",$M24=""),"",$L24&amp;$M24)</f>
        <v/>
      </c>
      <c r="O24" s="7" t="str">
        <f aca="false">IF($N24="","",IF($N24="高流量高转化","主推：加库存/上活动/扩达人/试投流",IF($N24="高流量低转化","查转化：价格/运费/优惠券/主图/详情/评价/客服",IF($N24="低流量高转化","加曝光：达人/短视频/直播/商城活动+秒杀",IF($N24="低流量低转化","下架或改图改标题重测/放弃","")))))</f>
        <v/>
      </c>
      <c r="P24" s="7" t="str">
        <f aca="false">IF($K24="","",IF($K24&gt;参数配置!$B$21,"⚠️退款率偏高·查质量/尺码/物流",""))</f>
        <v/>
      </c>
    </row>
    <row r="25" customFormat="false" ht="15" hidden="false" customHeight="false" outlineLevel="0" collapsed="false">
      <c r="A25" s="44"/>
      <c r="B25" s="49" t="str">
        <f aca="false">IFERROR(VLOOKUP($A25,SKU主表!$A:$M,2,0),"")</f>
        <v/>
      </c>
      <c r="C25" s="43"/>
      <c r="D25" s="43"/>
      <c r="E25" s="43"/>
      <c r="F25" s="43"/>
      <c r="G25" s="43"/>
      <c r="H25" s="60" t="str">
        <f aca="false">IFERROR($D25/$C25,"")</f>
        <v/>
      </c>
      <c r="I25" s="60" t="str">
        <f aca="false">IFERROR($E25/$D25,"")</f>
        <v/>
      </c>
      <c r="J25" s="60" t="str">
        <f aca="false">IFERROR($F25/$E25,"")</f>
        <v/>
      </c>
      <c r="K25" s="60" t="str">
        <f aca="false">IFERROR($G25/$F25,"")</f>
        <v/>
      </c>
      <c r="L25" s="64" t="str">
        <f aca="false">IF($C25="","",IF($C25&gt;=参数配置!$B$19,"高流量","低流量"))</f>
        <v/>
      </c>
      <c r="M25" s="64" t="str">
        <f aca="false">IF($J25="","",IF($J25&gt;=参数配置!$B$20,"高转化","低转化"))</f>
        <v/>
      </c>
      <c r="N25" s="51" t="str">
        <f aca="false">IF(OR($L25="",$M25=""),"",$L25&amp;$M25)</f>
        <v/>
      </c>
      <c r="O25" s="7" t="str">
        <f aca="false">IF($N25="","",IF($N25="高流量高转化","主推：加库存/上活动/扩达人/试投流",IF($N25="高流量低转化","查转化：价格/运费/优惠券/主图/详情/评价/客服",IF($N25="低流量高转化","加曝光：达人/短视频/直播/商城活动+秒杀",IF($N25="低流量低转化","下架或改图改标题重测/放弃","")))))</f>
        <v/>
      </c>
      <c r="P25" s="7" t="str">
        <f aca="false">IF($K25="","",IF($K25&gt;参数配置!$B$21,"⚠️退款率偏高·查质量/尺码/物流",""))</f>
        <v/>
      </c>
    </row>
    <row r="26" customFormat="false" ht="15" hidden="false" customHeight="false" outlineLevel="0" collapsed="false">
      <c r="A26" s="44"/>
      <c r="B26" s="49" t="str">
        <f aca="false">IFERROR(VLOOKUP($A26,SKU主表!$A:$M,2,0),"")</f>
        <v/>
      </c>
      <c r="C26" s="43"/>
      <c r="D26" s="43"/>
      <c r="E26" s="43"/>
      <c r="F26" s="43"/>
      <c r="G26" s="43"/>
      <c r="H26" s="60" t="str">
        <f aca="false">IFERROR($D26/$C26,"")</f>
        <v/>
      </c>
      <c r="I26" s="60" t="str">
        <f aca="false">IFERROR($E26/$D26,"")</f>
        <v/>
      </c>
      <c r="J26" s="60" t="str">
        <f aca="false">IFERROR($F26/$E26,"")</f>
        <v/>
      </c>
      <c r="K26" s="60" t="str">
        <f aca="false">IFERROR($G26/$F26,"")</f>
        <v/>
      </c>
      <c r="L26" s="64" t="str">
        <f aca="false">IF($C26="","",IF($C26&gt;=参数配置!$B$19,"高流量","低流量"))</f>
        <v/>
      </c>
      <c r="M26" s="64" t="str">
        <f aca="false">IF($J26="","",IF($J26&gt;=参数配置!$B$20,"高转化","低转化"))</f>
        <v/>
      </c>
      <c r="N26" s="51" t="str">
        <f aca="false">IF(OR($L26="",$M26=""),"",$L26&amp;$M26)</f>
        <v/>
      </c>
      <c r="O26" s="7" t="str">
        <f aca="false">IF($N26="","",IF($N26="高流量高转化","主推：加库存/上活动/扩达人/试投流",IF($N26="高流量低转化","查转化：价格/运费/优惠券/主图/详情/评价/客服",IF($N26="低流量高转化","加曝光：达人/短视频/直播/商城活动+秒杀",IF($N26="低流量低转化","下架或改图改标题重测/放弃","")))))</f>
        <v/>
      </c>
      <c r="P26" s="7" t="str">
        <f aca="false">IF($K26="","",IF($K26&gt;参数配置!$B$21,"⚠️退款率偏高·查质量/尺码/物流",""))</f>
        <v/>
      </c>
    </row>
    <row r="27" customFormat="false" ht="15" hidden="false" customHeight="false" outlineLevel="0" collapsed="false">
      <c r="A27" s="44"/>
      <c r="B27" s="49" t="str">
        <f aca="false">IFERROR(VLOOKUP($A27,SKU主表!$A:$M,2,0),"")</f>
        <v/>
      </c>
      <c r="C27" s="43"/>
      <c r="D27" s="43"/>
      <c r="E27" s="43"/>
      <c r="F27" s="43"/>
      <c r="G27" s="43"/>
      <c r="H27" s="60" t="str">
        <f aca="false">IFERROR($D27/$C27,"")</f>
        <v/>
      </c>
      <c r="I27" s="60" t="str">
        <f aca="false">IFERROR($E27/$D27,"")</f>
        <v/>
      </c>
      <c r="J27" s="60" t="str">
        <f aca="false">IFERROR($F27/$E27,"")</f>
        <v/>
      </c>
      <c r="K27" s="60" t="str">
        <f aca="false">IFERROR($G27/$F27,"")</f>
        <v/>
      </c>
      <c r="L27" s="64" t="str">
        <f aca="false">IF($C27="","",IF($C27&gt;=参数配置!$B$19,"高流量","低流量"))</f>
        <v/>
      </c>
      <c r="M27" s="64" t="str">
        <f aca="false">IF($J27="","",IF($J27&gt;=参数配置!$B$20,"高转化","低转化"))</f>
        <v/>
      </c>
      <c r="N27" s="51" t="str">
        <f aca="false">IF(OR($L27="",$M27=""),"",$L27&amp;$M27)</f>
        <v/>
      </c>
      <c r="O27" s="7" t="str">
        <f aca="false">IF($N27="","",IF($N27="高流量高转化","主推：加库存/上活动/扩达人/试投流",IF($N27="高流量低转化","查转化：价格/运费/优惠券/主图/详情/评价/客服",IF($N27="低流量高转化","加曝光：达人/短视频/直播/商城活动+秒杀",IF($N27="低流量低转化","下架或改图改标题重测/放弃","")))))</f>
        <v/>
      </c>
      <c r="P27" s="7" t="str">
        <f aca="false">IF($K27="","",IF($K27&gt;参数配置!$B$21,"⚠️退款率偏高·查质量/尺码/物流",""))</f>
        <v/>
      </c>
    </row>
    <row r="28" customFormat="false" ht="15" hidden="false" customHeight="false" outlineLevel="0" collapsed="false">
      <c r="A28" s="44"/>
      <c r="B28" s="49" t="str">
        <f aca="false">IFERROR(VLOOKUP($A28,SKU主表!$A:$M,2,0),"")</f>
        <v/>
      </c>
      <c r="C28" s="43"/>
      <c r="D28" s="43"/>
      <c r="E28" s="43"/>
      <c r="F28" s="43"/>
      <c r="G28" s="43"/>
      <c r="H28" s="60" t="str">
        <f aca="false">IFERROR($D28/$C28,"")</f>
        <v/>
      </c>
      <c r="I28" s="60" t="str">
        <f aca="false">IFERROR($E28/$D28,"")</f>
        <v/>
      </c>
      <c r="J28" s="60" t="str">
        <f aca="false">IFERROR($F28/$E28,"")</f>
        <v/>
      </c>
      <c r="K28" s="60" t="str">
        <f aca="false">IFERROR($G28/$F28,"")</f>
        <v/>
      </c>
      <c r="L28" s="64" t="str">
        <f aca="false">IF($C28="","",IF($C28&gt;=参数配置!$B$19,"高流量","低流量"))</f>
        <v/>
      </c>
      <c r="M28" s="64" t="str">
        <f aca="false">IF($J28="","",IF($J28&gt;=参数配置!$B$20,"高转化","低转化"))</f>
        <v/>
      </c>
      <c r="N28" s="51" t="str">
        <f aca="false">IF(OR($L28="",$M28=""),"",$L28&amp;$M28)</f>
        <v/>
      </c>
      <c r="O28" s="7" t="str">
        <f aca="false">IF($N28="","",IF($N28="高流量高转化","主推：加库存/上活动/扩达人/试投流",IF($N28="高流量低转化","查转化：价格/运费/优惠券/主图/详情/评价/客服",IF($N28="低流量高转化","加曝光：达人/短视频/直播/商城活动+秒杀",IF($N28="低流量低转化","下架或改图改标题重测/放弃","")))))</f>
        <v/>
      </c>
      <c r="P28" s="7" t="str">
        <f aca="false">IF($K28="","",IF($K28&gt;参数配置!$B$21,"⚠️退款率偏高·查质量/尺码/物流",""))</f>
        <v/>
      </c>
    </row>
    <row r="29" customFormat="false" ht="15" hidden="false" customHeight="false" outlineLevel="0" collapsed="false">
      <c r="A29" s="44"/>
      <c r="B29" s="49" t="str">
        <f aca="false">IFERROR(VLOOKUP($A29,SKU主表!$A:$M,2,0),"")</f>
        <v/>
      </c>
      <c r="C29" s="43"/>
      <c r="D29" s="43"/>
      <c r="E29" s="43"/>
      <c r="F29" s="43"/>
      <c r="G29" s="43"/>
      <c r="H29" s="60" t="str">
        <f aca="false">IFERROR($D29/$C29,"")</f>
        <v/>
      </c>
      <c r="I29" s="60" t="str">
        <f aca="false">IFERROR($E29/$D29,"")</f>
        <v/>
      </c>
      <c r="J29" s="60" t="str">
        <f aca="false">IFERROR($F29/$E29,"")</f>
        <v/>
      </c>
      <c r="K29" s="60" t="str">
        <f aca="false">IFERROR($G29/$F29,"")</f>
        <v/>
      </c>
      <c r="L29" s="64" t="str">
        <f aca="false">IF($C29="","",IF($C29&gt;=参数配置!$B$19,"高流量","低流量"))</f>
        <v/>
      </c>
      <c r="M29" s="64" t="str">
        <f aca="false">IF($J29="","",IF($J29&gt;=参数配置!$B$20,"高转化","低转化"))</f>
        <v/>
      </c>
      <c r="N29" s="51" t="str">
        <f aca="false">IF(OR($L29="",$M29=""),"",$L29&amp;$M29)</f>
        <v/>
      </c>
      <c r="O29" s="7" t="str">
        <f aca="false">IF($N29="","",IF($N29="高流量高转化","主推：加库存/上活动/扩达人/试投流",IF($N29="高流量低转化","查转化：价格/运费/优惠券/主图/详情/评价/客服",IF($N29="低流量高转化","加曝光：达人/短视频/直播/商城活动+秒杀",IF($N29="低流量低转化","下架或改图改标题重测/放弃","")))))</f>
        <v/>
      </c>
      <c r="P29" s="7" t="str">
        <f aca="false">IF($K29="","",IF($K29&gt;参数配置!$B$21,"⚠️退款率偏高·查质量/尺码/物流",""))</f>
        <v/>
      </c>
    </row>
    <row r="30" customFormat="false" ht="15" hidden="false" customHeight="false" outlineLevel="0" collapsed="false">
      <c r="A30" s="44"/>
      <c r="B30" s="49" t="str">
        <f aca="false">IFERROR(VLOOKUP($A30,SKU主表!$A:$M,2,0),"")</f>
        <v/>
      </c>
      <c r="C30" s="43"/>
      <c r="D30" s="43"/>
      <c r="E30" s="43"/>
      <c r="F30" s="43"/>
      <c r="G30" s="43"/>
      <c r="H30" s="60" t="str">
        <f aca="false">IFERROR($D30/$C30,"")</f>
        <v/>
      </c>
      <c r="I30" s="60" t="str">
        <f aca="false">IFERROR($E30/$D30,"")</f>
        <v/>
      </c>
      <c r="J30" s="60" t="str">
        <f aca="false">IFERROR($F30/$E30,"")</f>
        <v/>
      </c>
      <c r="K30" s="60" t="str">
        <f aca="false">IFERROR($G30/$F30,"")</f>
        <v/>
      </c>
      <c r="L30" s="64" t="str">
        <f aca="false">IF($C30="","",IF($C30&gt;=参数配置!$B$19,"高流量","低流量"))</f>
        <v/>
      </c>
      <c r="M30" s="64" t="str">
        <f aca="false">IF($J30="","",IF($J30&gt;=参数配置!$B$20,"高转化","低转化"))</f>
        <v/>
      </c>
      <c r="N30" s="51" t="str">
        <f aca="false">IF(OR($L30="",$M30=""),"",$L30&amp;$M30)</f>
        <v/>
      </c>
      <c r="O30" s="7" t="str">
        <f aca="false">IF($N30="","",IF($N30="高流量高转化","主推：加库存/上活动/扩达人/试投流",IF($N30="高流量低转化","查转化：价格/运费/优惠券/主图/详情/评价/客服",IF($N30="低流量高转化","加曝光：达人/短视频/直播/商城活动+秒杀",IF($N30="低流量低转化","下架或改图改标题重测/放弃","")))))</f>
        <v/>
      </c>
      <c r="P30" s="7" t="str">
        <f aca="false">IF($K30="","",IF($K30&gt;参数配置!$B$21,"⚠️退款率偏高·查质量/尺码/物流",""))</f>
        <v/>
      </c>
    </row>
    <row r="31" customFormat="false" ht="15" hidden="false" customHeight="false" outlineLevel="0" collapsed="false">
      <c r="A31" s="44"/>
      <c r="B31" s="49" t="str">
        <f aca="false">IFERROR(VLOOKUP($A31,SKU主表!$A:$M,2,0),"")</f>
        <v/>
      </c>
      <c r="C31" s="43"/>
      <c r="D31" s="43"/>
      <c r="E31" s="43"/>
      <c r="F31" s="43"/>
      <c r="G31" s="43"/>
      <c r="H31" s="60" t="str">
        <f aca="false">IFERROR($D31/$C31,"")</f>
        <v/>
      </c>
      <c r="I31" s="60" t="str">
        <f aca="false">IFERROR($E31/$D31,"")</f>
        <v/>
      </c>
      <c r="J31" s="60" t="str">
        <f aca="false">IFERROR($F31/$E31,"")</f>
        <v/>
      </c>
      <c r="K31" s="60" t="str">
        <f aca="false">IFERROR($G31/$F31,"")</f>
        <v/>
      </c>
      <c r="L31" s="64" t="str">
        <f aca="false">IF($C31="","",IF($C31&gt;=参数配置!$B$19,"高流量","低流量"))</f>
        <v/>
      </c>
      <c r="M31" s="64" t="str">
        <f aca="false">IF($J31="","",IF($J31&gt;=参数配置!$B$20,"高转化","低转化"))</f>
        <v/>
      </c>
      <c r="N31" s="51" t="str">
        <f aca="false">IF(OR($L31="",$M31=""),"",$L31&amp;$M31)</f>
        <v/>
      </c>
      <c r="O31" s="7" t="str">
        <f aca="false">IF($N31="","",IF($N31="高流量高转化","主推：加库存/上活动/扩达人/试投流",IF($N31="高流量低转化","查转化：价格/运费/优惠券/主图/详情/评价/客服",IF($N31="低流量高转化","加曝光：达人/短视频/直播/商城活动+秒杀",IF($N31="低流量低转化","下架或改图改标题重测/放弃","")))))</f>
        <v/>
      </c>
      <c r="P31" s="7" t="str">
        <f aca="false">IF($K31="","",IF($K31&gt;参数配置!$B$21,"⚠️退款率偏高·查质量/尺码/物流",""))</f>
        <v/>
      </c>
    </row>
    <row r="32" customFormat="false" ht="15" hidden="false" customHeight="false" outlineLevel="0" collapsed="false">
      <c r="A32" s="44"/>
      <c r="B32" s="49" t="str">
        <f aca="false">IFERROR(VLOOKUP($A32,SKU主表!$A:$M,2,0),"")</f>
        <v/>
      </c>
      <c r="C32" s="43"/>
      <c r="D32" s="43"/>
      <c r="E32" s="43"/>
      <c r="F32" s="43"/>
      <c r="G32" s="43"/>
      <c r="H32" s="60" t="str">
        <f aca="false">IFERROR($D32/$C32,"")</f>
        <v/>
      </c>
      <c r="I32" s="60" t="str">
        <f aca="false">IFERROR($E32/$D32,"")</f>
        <v/>
      </c>
      <c r="J32" s="60" t="str">
        <f aca="false">IFERROR($F32/$E32,"")</f>
        <v/>
      </c>
      <c r="K32" s="60" t="str">
        <f aca="false">IFERROR($G32/$F32,"")</f>
        <v/>
      </c>
      <c r="L32" s="64" t="str">
        <f aca="false">IF($C32="","",IF($C32&gt;=参数配置!$B$19,"高流量","低流量"))</f>
        <v/>
      </c>
      <c r="M32" s="64" t="str">
        <f aca="false">IF($J32="","",IF($J32&gt;=参数配置!$B$20,"高转化","低转化"))</f>
        <v/>
      </c>
      <c r="N32" s="51" t="str">
        <f aca="false">IF(OR($L32="",$M32=""),"",$L32&amp;$M32)</f>
        <v/>
      </c>
      <c r="O32" s="7" t="str">
        <f aca="false">IF($N32="","",IF($N32="高流量高转化","主推：加库存/上活动/扩达人/试投流",IF($N32="高流量低转化","查转化：价格/运费/优惠券/主图/详情/评价/客服",IF($N32="低流量高转化","加曝光：达人/短视频/直播/商城活动+秒杀",IF($N32="低流量低转化","下架或改图改标题重测/放弃","")))))</f>
        <v/>
      </c>
      <c r="P32" s="7" t="str">
        <f aca="false">IF($K32="","",IF($K32&gt;参数配置!$B$21,"⚠️退款率偏高·查质量/尺码/物流",""))</f>
        <v/>
      </c>
    </row>
    <row r="33" customFormat="false" ht="15" hidden="false" customHeight="false" outlineLevel="0" collapsed="false">
      <c r="A33" s="44"/>
      <c r="B33" s="49" t="str">
        <f aca="false">IFERROR(VLOOKUP($A33,SKU主表!$A:$M,2,0),"")</f>
        <v/>
      </c>
      <c r="C33" s="43"/>
      <c r="D33" s="43"/>
      <c r="E33" s="43"/>
      <c r="F33" s="43"/>
      <c r="G33" s="43"/>
      <c r="H33" s="60" t="str">
        <f aca="false">IFERROR($D33/$C33,"")</f>
        <v/>
      </c>
      <c r="I33" s="60" t="str">
        <f aca="false">IFERROR($E33/$D33,"")</f>
        <v/>
      </c>
      <c r="J33" s="60" t="str">
        <f aca="false">IFERROR($F33/$E33,"")</f>
        <v/>
      </c>
      <c r="K33" s="60" t="str">
        <f aca="false">IFERROR($G33/$F33,"")</f>
        <v/>
      </c>
      <c r="L33" s="64" t="str">
        <f aca="false">IF($C33="","",IF($C33&gt;=参数配置!$B$19,"高流量","低流量"))</f>
        <v/>
      </c>
      <c r="M33" s="64" t="str">
        <f aca="false">IF($J33="","",IF($J33&gt;=参数配置!$B$20,"高转化","低转化"))</f>
        <v/>
      </c>
      <c r="N33" s="51" t="str">
        <f aca="false">IF(OR($L33="",$M33=""),"",$L33&amp;$M33)</f>
        <v/>
      </c>
      <c r="O33" s="7" t="str">
        <f aca="false">IF($N33="","",IF($N33="高流量高转化","主推：加库存/上活动/扩达人/试投流",IF($N33="高流量低转化","查转化：价格/运费/优惠券/主图/详情/评价/客服",IF($N33="低流量高转化","加曝光：达人/短视频/直播/商城活动+秒杀",IF($N33="低流量低转化","下架或改图改标题重测/放弃","")))))</f>
        <v/>
      </c>
      <c r="P33" s="7" t="str">
        <f aca="false">IF($K33="","",IF($K33&gt;参数配置!$B$21,"⚠️退款率偏高·查质量/尺码/物流",""))</f>
        <v/>
      </c>
    </row>
  </sheetData>
  <mergeCells count="2">
    <mergeCell ref="A1:P1"/>
    <mergeCell ref="A2:P2"/>
  </mergeCells>
  <conditionalFormatting sqref="O4:O33">
    <cfRule type="expression" priority="2" aboveAverage="0" equalAverage="0" bottom="0" percent="0" rank="0" text="" dxfId="2">
      <formula>ISNUMBER(SEARCH("主推",$O4))</formula>
    </cfRule>
    <cfRule type="expression" priority="3" aboveAverage="0" equalAverage="0" bottom="0" percent="0" rank="0" text="" dxfId="0">
      <formula>ISNUMBER(SEARCH("下架",$O4))</formula>
    </cfRule>
  </conditionalFormatting>
  <conditionalFormatting sqref="P4:P33">
    <cfRule type="expression" priority="4" aboveAverage="0" equalAverage="0" bottom="0" percent="0" rank="0" text="" dxfId="6">
      <formula>$P4&lt;&gt;""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14.56"/>
    <col collapsed="false" customWidth="true" hidden="false" outlineLevel="0" max="3" min="3" style="0" width="13.65"/>
    <col collapsed="false" customWidth="true" hidden="false" outlineLevel="0" max="4" min="4" style="0" width="70.97"/>
    <col collapsed="false" customWidth="true" hidden="false" outlineLevel="0" max="5" min="5" style="0" width="27.3"/>
  </cols>
  <sheetData>
    <row r="1" customFormat="false" ht="25.5" hidden="false" customHeight="true" outlineLevel="0" collapsed="false">
      <c r="A1" s="1" t="s">
        <v>191</v>
      </c>
      <c r="B1" s="1"/>
      <c r="C1" s="1"/>
      <c r="D1" s="1"/>
      <c r="E1" s="1"/>
    </row>
    <row r="2" customFormat="false" ht="30" hidden="false" customHeight="true" outlineLevel="0" collapsed="false">
      <c r="A2" s="2" t="s">
        <v>192</v>
      </c>
      <c r="B2" s="2"/>
      <c r="C2" s="2"/>
      <c r="D2" s="2"/>
      <c r="E2" s="2"/>
    </row>
    <row r="3" customFormat="false" ht="19.5" hidden="false" customHeight="true" outlineLevel="0" collapsed="false">
      <c r="A3" s="31" t="s">
        <v>193</v>
      </c>
      <c r="B3" s="31" t="s">
        <v>194</v>
      </c>
      <c r="C3" s="31" t="s">
        <v>195</v>
      </c>
      <c r="D3" s="31" t="s">
        <v>196</v>
      </c>
      <c r="E3" s="31" t="s">
        <v>104</v>
      </c>
    </row>
    <row r="4" customFormat="false" ht="33.75" hidden="false" customHeight="true" outlineLevel="0" collapsed="false">
      <c r="A4" s="5" t="s">
        <v>197</v>
      </c>
      <c r="B4" s="6" t="s">
        <v>198</v>
      </c>
      <c r="C4" s="6" t="s">
        <v>199</v>
      </c>
      <c r="D4" s="6" t="s">
        <v>200</v>
      </c>
      <c r="E4" s="7" t="s">
        <v>201</v>
      </c>
    </row>
    <row r="5" customFormat="false" ht="48.75" hidden="false" customHeight="true" outlineLevel="0" collapsed="false">
      <c r="A5" s="65" t="s">
        <v>197</v>
      </c>
      <c r="B5" s="6" t="s">
        <v>198</v>
      </c>
      <c r="C5" s="6" t="s">
        <v>202</v>
      </c>
      <c r="D5" s="66" t="s">
        <v>203</v>
      </c>
      <c r="E5" s="7"/>
    </row>
    <row r="6" customFormat="false" ht="63.75" hidden="false" customHeight="true" outlineLevel="0" collapsed="false">
      <c r="A6" s="5" t="s">
        <v>204</v>
      </c>
      <c r="B6" s="6" t="s">
        <v>198</v>
      </c>
      <c r="C6" s="6" t="s">
        <v>199</v>
      </c>
      <c r="D6" s="6" t="s">
        <v>205</v>
      </c>
      <c r="E6" s="7" t="s">
        <v>206</v>
      </c>
    </row>
    <row r="7" customFormat="false" ht="63.75" hidden="false" customHeight="true" outlineLevel="0" collapsed="false">
      <c r="A7" s="65" t="s">
        <v>204</v>
      </c>
      <c r="B7" s="6" t="s">
        <v>198</v>
      </c>
      <c r="C7" s="6" t="s">
        <v>202</v>
      </c>
      <c r="D7" s="66" t="s">
        <v>207</v>
      </c>
      <c r="E7" s="7" t="s">
        <v>208</v>
      </c>
    </row>
    <row r="8" customFormat="false" ht="63.75" hidden="false" customHeight="true" outlineLevel="0" collapsed="false">
      <c r="A8" s="5" t="s">
        <v>209</v>
      </c>
      <c r="B8" s="6" t="s">
        <v>198</v>
      </c>
      <c r="C8" s="6" t="s">
        <v>199</v>
      </c>
      <c r="D8" s="6" t="s">
        <v>210</v>
      </c>
      <c r="E8" s="7" t="s">
        <v>211</v>
      </c>
    </row>
    <row r="9" customFormat="false" ht="63.75" hidden="false" customHeight="true" outlineLevel="0" collapsed="false">
      <c r="A9" s="65" t="s">
        <v>209</v>
      </c>
      <c r="B9" s="6" t="s">
        <v>198</v>
      </c>
      <c r="C9" s="6" t="s">
        <v>202</v>
      </c>
      <c r="D9" s="66" t="s">
        <v>212</v>
      </c>
      <c r="E9" s="7"/>
    </row>
    <row r="10" customFormat="false" ht="63.75" hidden="false" customHeight="true" outlineLevel="0" collapsed="false">
      <c r="A10" s="5" t="s">
        <v>213</v>
      </c>
      <c r="B10" s="6" t="s">
        <v>198</v>
      </c>
      <c r="C10" s="7" t="s">
        <v>214</v>
      </c>
      <c r="D10" s="7" t="s">
        <v>215</v>
      </c>
      <c r="E10" s="7" t="s">
        <v>216</v>
      </c>
    </row>
    <row r="11" customFormat="false" ht="48.75" hidden="false" customHeight="true" outlineLevel="0" collapsed="false">
      <c r="A11" s="5" t="s">
        <v>217</v>
      </c>
      <c r="B11" s="6" t="s">
        <v>198</v>
      </c>
      <c r="C11" s="6" t="s">
        <v>199</v>
      </c>
      <c r="D11" s="6" t="s">
        <v>218</v>
      </c>
      <c r="E11" s="7" t="s">
        <v>219</v>
      </c>
    </row>
    <row r="12" customFormat="false" ht="48.75" hidden="false" customHeight="true" outlineLevel="0" collapsed="false">
      <c r="A12" s="65" t="s">
        <v>217</v>
      </c>
      <c r="B12" s="6" t="s">
        <v>198</v>
      </c>
      <c r="C12" s="6" t="s">
        <v>202</v>
      </c>
      <c r="D12" s="66" t="s">
        <v>220</v>
      </c>
      <c r="E12" s="7"/>
    </row>
    <row r="13" customFormat="false" ht="48.75" hidden="false" customHeight="true" outlineLevel="0" collapsed="false">
      <c r="A13" s="5" t="s">
        <v>221</v>
      </c>
      <c r="B13" s="6" t="s">
        <v>198</v>
      </c>
      <c r="C13" s="6" t="s">
        <v>199</v>
      </c>
      <c r="D13" s="6" t="s">
        <v>222</v>
      </c>
      <c r="E13" s="7"/>
    </row>
    <row r="14" customFormat="false" ht="48.75" hidden="false" customHeight="true" outlineLevel="0" collapsed="false">
      <c r="A14" s="65" t="s">
        <v>221</v>
      </c>
      <c r="B14" s="6" t="s">
        <v>198</v>
      </c>
      <c r="C14" s="6" t="s">
        <v>202</v>
      </c>
      <c r="D14" s="66" t="s">
        <v>223</v>
      </c>
      <c r="E14" s="7"/>
    </row>
    <row r="15" customFormat="false" ht="48.75" hidden="false" customHeight="true" outlineLevel="0" collapsed="false">
      <c r="A15" s="5" t="s">
        <v>224</v>
      </c>
      <c r="B15" s="6" t="s">
        <v>198</v>
      </c>
      <c r="C15" s="6" t="s">
        <v>199</v>
      </c>
      <c r="D15" s="6" t="s">
        <v>225</v>
      </c>
      <c r="E15" s="7" t="s">
        <v>226</v>
      </c>
    </row>
    <row r="16" customFormat="false" ht="48.75" hidden="false" customHeight="true" outlineLevel="0" collapsed="false">
      <c r="A16" s="65" t="s">
        <v>224</v>
      </c>
      <c r="B16" s="6" t="s">
        <v>198</v>
      </c>
      <c r="C16" s="6" t="s">
        <v>202</v>
      </c>
      <c r="D16" s="66" t="s">
        <v>227</v>
      </c>
      <c r="E16" s="7"/>
    </row>
    <row r="17" customFormat="false" ht="48.75" hidden="false" customHeight="true" outlineLevel="0" collapsed="false">
      <c r="A17" s="5" t="s">
        <v>228</v>
      </c>
      <c r="B17" s="6" t="s">
        <v>198</v>
      </c>
      <c r="C17" s="6" t="s">
        <v>199</v>
      </c>
      <c r="D17" s="6" t="s">
        <v>229</v>
      </c>
      <c r="E17" s="7"/>
    </row>
    <row r="18" customFormat="false" ht="48.75" hidden="false" customHeight="true" outlineLevel="0" collapsed="false">
      <c r="A18" s="65" t="s">
        <v>228</v>
      </c>
      <c r="B18" s="6" t="s">
        <v>198</v>
      </c>
      <c r="C18" s="6" t="s">
        <v>202</v>
      </c>
      <c r="D18" s="66" t="s">
        <v>230</v>
      </c>
      <c r="E18" s="7"/>
    </row>
    <row r="19" customFormat="false" ht="48.75" hidden="false" customHeight="true" outlineLevel="0" collapsed="false">
      <c r="A19" s="5" t="s">
        <v>231</v>
      </c>
      <c r="B19" s="6" t="s">
        <v>198</v>
      </c>
      <c r="C19" s="6" t="s">
        <v>199</v>
      </c>
      <c r="D19" s="6" t="s">
        <v>232</v>
      </c>
      <c r="E19" s="7" t="s">
        <v>233</v>
      </c>
    </row>
    <row r="20" customFormat="false" ht="33.75" hidden="false" customHeight="true" outlineLevel="0" collapsed="false">
      <c r="A20" s="65" t="s">
        <v>231</v>
      </c>
      <c r="B20" s="6" t="s">
        <v>198</v>
      </c>
      <c r="C20" s="6" t="s">
        <v>202</v>
      </c>
      <c r="D20" s="66" t="s">
        <v>234</v>
      </c>
      <c r="E20" s="7"/>
    </row>
    <row r="21" customFormat="false" ht="48.75" hidden="false" customHeight="true" outlineLevel="0" collapsed="false">
      <c r="A21" s="5" t="s">
        <v>235</v>
      </c>
      <c r="B21" s="6" t="s">
        <v>198</v>
      </c>
      <c r="C21" s="6" t="s">
        <v>199</v>
      </c>
      <c r="D21" s="6" t="s">
        <v>236</v>
      </c>
      <c r="E21" s="7" t="s">
        <v>237</v>
      </c>
    </row>
    <row r="22" customFormat="false" ht="48.75" hidden="false" customHeight="true" outlineLevel="0" collapsed="false">
      <c r="A22" s="65" t="s">
        <v>235</v>
      </c>
      <c r="B22" s="6" t="s">
        <v>198</v>
      </c>
      <c r="C22" s="6" t="s">
        <v>202</v>
      </c>
      <c r="D22" s="66" t="s">
        <v>238</v>
      </c>
      <c r="E22" s="7"/>
    </row>
    <row r="23" customFormat="false" ht="48.75" hidden="false" customHeight="true" outlineLevel="0" collapsed="false">
      <c r="A23" s="5" t="s">
        <v>239</v>
      </c>
      <c r="B23" s="6" t="s">
        <v>198</v>
      </c>
      <c r="C23" s="6" t="s">
        <v>199</v>
      </c>
      <c r="D23" s="6" t="s">
        <v>240</v>
      </c>
      <c r="E23" s="7" t="s">
        <v>241</v>
      </c>
    </row>
    <row r="24" customFormat="false" ht="48.75" hidden="false" customHeight="true" outlineLevel="0" collapsed="false">
      <c r="A24" s="65" t="s">
        <v>239</v>
      </c>
      <c r="B24" s="6" t="s">
        <v>198</v>
      </c>
      <c r="C24" s="6" t="s">
        <v>202</v>
      </c>
      <c r="D24" s="66" t="s">
        <v>242</v>
      </c>
      <c r="E24" s="7"/>
    </row>
    <row r="25" customFormat="false" ht="33.75" hidden="false" customHeight="true" outlineLevel="0" collapsed="false">
      <c r="A25" s="5" t="s">
        <v>243</v>
      </c>
      <c r="B25" s="7" t="s">
        <v>244</v>
      </c>
      <c r="C25" s="7" t="s">
        <v>245</v>
      </c>
      <c r="D25" s="7" t="s">
        <v>246</v>
      </c>
      <c r="E25" s="7" t="s">
        <v>247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21.84"/>
    <col collapsed="false" customWidth="true" hidden="false" outlineLevel="0" max="3" min="3" style="0" width="13.65"/>
    <col collapsed="false" customWidth="true" hidden="false" outlineLevel="0" max="4" min="4" style="0" width="67.33"/>
    <col collapsed="false" customWidth="true" hidden="false" outlineLevel="0" max="5" min="5" style="0" width="30.93"/>
  </cols>
  <sheetData>
    <row r="1" customFormat="false" ht="25.5" hidden="false" customHeight="true" outlineLevel="0" collapsed="false">
      <c r="A1" s="1" t="s">
        <v>248</v>
      </c>
      <c r="B1" s="1"/>
      <c r="C1" s="1"/>
      <c r="D1" s="1"/>
      <c r="E1" s="1"/>
    </row>
    <row r="2" customFormat="false" ht="30" hidden="false" customHeight="true" outlineLevel="0" collapsed="false">
      <c r="A2" s="2" t="s">
        <v>249</v>
      </c>
      <c r="B2" s="2"/>
      <c r="C2" s="2"/>
      <c r="D2" s="2"/>
      <c r="E2" s="2"/>
    </row>
    <row r="3" customFormat="false" ht="19.5" hidden="false" customHeight="true" outlineLevel="0" collapsed="false">
      <c r="A3" s="31" t="s">
        <v>250</v>
      </c>
      <c r="B3" s="31" t="s">
        <v>251</v>
      </c>
      <c r="C3" s="31" t="s">
        <v>195</v>
      </c>
      <c r="D3" s="31" t="s">
        <v>252</v>
      </c>
      <c r="E3" s="31" t="s">
        <v>104</v>
      </c>
    </row>
    <row r="4" customFormat="false" ht="33.75" hidden="false" customHeight="true" outlineLevel="0" collapsed="false">
      <c r="A4" s="5" t="s">
        <v>253</v>
      </c>
      <c r="B4" s="7" t="s">
        <v>254</v>
      </c>
      <c r="C4" s="6" t="s">
        <v>199</v>
      </c>
      <c r="D4" s="6" t="s">
        <v>255</v>
      </c>
      <c r="E4" s="7" t="s">
        <v>256</v>
      </c>
    </row>
    <row r="5" customFormat="false" ht="33.75" hidden="false" customHeight="true" outlineLevel="0" collapsed="false">
      <c r="A5" s="65" t="s">
        <v>253</v>
      </c>
      <c r="B5" s="7" t="s">
        <v>254</v>
      </c>
      <c r="C5" s="6" t="s">
        <v>202</v>
      </c>
      <c r="D5" s="66" t="s">
        <v>257</v>
      </c>
      <c r="E5" s="7"/>
    </row>
    <row r="6" customFormat="false" ht="25.5" hidden="false" customHeight="true" outlineLevel="0" collapsed="false">
      <c r="A6" s="65" t="s">
        <v>253</v>
      </c>
      <c r="B6" s="7" t="s">
        <v>258</v>
      </c>
      <c r="C6" s="6" t="s">
        <v>199</v>
      </c>
      <c r="D6" s="6" t="s">
        <v>259</v>
      </c>
      <c r="E6" s="7" t="s">
        <v>260</v>
      </c>
    </row>
    <row r="7" customFormat="false" ht="33.75" hidden="false" customHeight="true" outlineLevel="0" collapsed="false">
      <c r="A7" s="65" t="s">
        <v>253</v>
      </c>
      <c r="B7" s="7" t="s">
        <v>258</v>
      </c>
      <c r="C7" s="6" t="s">
        <v>202</v>
      </c>
      <c r="D7" s="66" t="s">
        <v>261</v>
      </c>
      <c r="E7" s="7"/>
    </row>
    <row r="8" customFormat="false" ht="25.5" hidden="false" customHeight="true" outlineLevel="0" collapsed="false">
      <c r="A8" s="65" t="s">
        <v>253</v>
      </c>
      <c r="B8" s="7" t="s">
        <v>262</v>
      </c>
      <c r="C8" s="6" t="s">
        <v>199</v>
      </c>
      <c r="D8" s="6" t="s">
        <v>263</v>
      </c>
      <c r="E8" s="7" t="s">
        <v>264</v>
      </c>
    </row>
    <row r="9" customFormat="false" ht="33.75" hidden="false" customHeight="true" outlineLevel="0" collapsed="false">
      <c r="A9" s="65" t="s">
        <v>253</v>
      </c>
      <c r="B9" s="7" t="s">
        <v>262</v>
      </c>
      <c r="C9" s="6" t="s">
        <v>202</v>
      </c>
      <c r="D9" s="66" t="s">
        <v>265</v>
      </c>
      <c r="E9" s="7"/>
    </row>
    <row r="10" customFormat="false" ht="48.75" hidden="false" customHeight="true" outlineLevel="0" collapsed="false">
      <c r="A10" s="65" t="s">
        <v>253</v>
      </c>
      <c r="B10" s="7" t="s">
        <v>266</v>
      </c>
      <c r="C10" s="6" t="s">
        <v>199</v>
      </c>
      <c r="D10" s="6" t="s">
        <v>267</v>
      </c>
      <c r="E10" s="7" t="s">
        <v>268</v>
      </c>
    </row>
    <row r="11" customFormat="false" ht="33.75" hidden="false" customHeight="true" outlineLevel="0" collapsed="false">
      <c r="A11" s="5" t="s">
        <v>269</v>
      </c>
      <c r="B11" s="7" t="s">
        <v>270</v>
      </c>
      <c r="C11" s="6" t="s">
        <v>199</v>
      </c>
      <c r="D11" s="6" t="s">
        <v>271</v>
      </c>
      <c r="E11" s="7" t="s">
        <v>272</v>
      </c>
    </row>
    <row r="12" customFormat="false" ht="48.75" hidden="false" customHeight="true" outlineLevel="0" collapsed="false">
      <c r="A12" s="65" t="s">
        <v>269</v>
      </c>
      <c r="B12" s="7" t="s">
        <v>270</v>
      </c>
      <c r="C12" s="6" t="s">
        <v>202</v>
      </c>
      <c r="D12" s="66" t="s">
        <v>273</v>
      </c>
      <c r="E12" s="7"/>
    </row>
    <row r="13" customFormat="false" ht="48.75" hidden="false" customHeight="true" outlineLevel="0" collapsed="false">
      <c r="A13" s="65" t="s">
        <v>269</v>
      </c>
      <c r="B13" s="7" t="s">
        <v>274</v>
      </c>
      <c r="C13" s="6" t="s">
        <v>199</v>
      </c>
      <c r="D13" s="6" t="s">
        <v>275</v>
      </c>
      <c r="E13" s="7" t="s">
        <v>276</v>
      </c>
    </row>
    <row r="14" customFormat="false" ht="48.75" hidden="false" customHeight="true" outlineLevel="0" collapsed="false">
      <c r="A14" s="65" t="s">
        <v>269</v>
      </c>
      <c r="B14" s="7" t="s">
        <v>274</v>
      </c>
      <c r="C14" s="6" t="s">
        <v>202</v>
      </c>
      <c r="D14" s="66" t="s">
        <v>277</v>
      </c>
      <c r="E14" s="7" t="s">
        <v>276</v>
      </c>
    </row>
    <row r="15" customFormat="false" ht="33.75" hidden="false" customHeight="true" outlineLevel="0" collapsed="false">
      <c r="A15" s="65" t="s">
        <v>269</v>
      </c>
      <c r="B15" s="7" t="s">
        <v>278</v>
      </c>
      <c r="C15" s="6" t="s">
        <v>199</v>
      </c>
      <c r="D15" s="6" t="s">
        <v>279</v>
      </c>
      <c r="E15" s="7"/>
    </row>
    <row r="16" customFormat="false" ht="33.75" hidden="false" customHeight="true" outlineLevel="0" collapsed="false">
      <c r="A16" s="65" t="s">
        <v>269</v>
      </c>
      <c r="B16" s="7" t="s">
        <v>278</v>
      </c>
      <c r="C16" s="6" t="s">
        <v>202</v>
      </c>
      <c r="D16" s="66" t="s">
        <v>280</v>
      </c>
      <c r="E16" s="7"/>
    </row>
    <row r="17" customFormat="false" ht="33.75" hidden="false" customHeight="true" outlineLevel="0" collapsed="false">
      <c r="A17" s="65" t="s">
        <v>269</v>
      </c>
      <c r="B17" s="7" t="s">
        <v>281</v>
      </c>
      <c r="C17" s="6" t="s">
        <v>199</v>
      </c>
      <c r="D17" s="6" t="s">
        <v>282</v>
      </c>
      <c r="E17" s="7" t="s">
        <v>276</v>
      </c>
    </row>
    <row r="18" customFormat="false" ht="33.75" hidden="false" customHeight="true" outlineLevel="0" collapsed="false">
      <c r="A18" s="65" t="s">
        <v>269</v>
      </c>
      <c r="B18" s="7" t="s">
        <v>281</v>
      </c>
      <c r="C18" s="6" t="s">
        <v>202</v>
      </c>
      <c r="D18" s="66" t="s">
        <v>283</v>
      </c>
      <c r="E18" s="7" t="s">
        <v>276</v>
      </c>
    </row>
    <row r="19" customFormat="false" ht="48.75" hidden="false" customHeight="true" outlineLevel="0" collapsed="false">
      <c r="A19" s="65" t="s">
        <v>269</v>
      </c>
      <c r="B19" s="7" t="s">
        <v>284</v>
      </c>
      <c r="C19" s="6" t="s">
        <v>199</v>
      </c>
      <c r="D19" s="6" t="s">
        <v>285</v>
      </c>
      <c r="E19" s="7"/>
    </row>
    <row r="20" customFormat="false" ht="48.75" hidden="false" customHeight="true" outlineLevel="0" collapsed="false">
      <c r="A20" s="65" t="s">
        <v>269</v>
      </c>
      <c r="B20" s="7" t="s">
        <v>284</v>
      </c>
      <c r="C20" s="6" t="s">
        <v>202</v>
      </c>
      <c r="D20" s="66" t="s">
        <v>286</v>
      </c>
      <c r="E20" s="7"/>
    </row>
    <row r="21" customFormat="false" ht="48.75" hidden="false" customHeight="true" outlineLevel="0" collapsed="false">
      <c r="A21" s="65" t="s">
        <v>269</v>
      </c>
      <c r="B21" s="7" t="s">
        <v>287</v>
      </c>
      <c r="C21" s="6" t="s">
        <v>199</v>
      </c>
      <c r="D21" s="6" t="s">
        <v>288</v>
      </c>
      <c r="E21" s="7" t="s">
        <v>289</v>
      </c>
    </row>
    <row r="22" customFormat="false" ht="48.75" hidden="false" customHeight="true" outlineLevel="0" collapsed="false">
      <c r="A22" s="65" t="s">
        <v>269</v>
      </c>
      <c r="B22" s="7" t="s">
        <v>287</v>
      </c>
      <c r="C22" s="6" t="s">
        <v>202</v>
      </c>
      <c r="D22" s="66" t="s">
        <v>290</v>
      </c>
      <c r="E22" s="7"/>
    </row>
    <row r="23" customFormat="false" ht="33.75" hidden="false" customHeight="true" outlineLevel="0" collapsed="false">
      <c r="A23" s="65" t="s">
        <v>269</v>
      </c>
      <c r="B23" s="7" t="s">
        <v>291</v>
      </c>
      <c r="C23" s="6" t="s">
        <v>199</v>
      </c>
      <c r="D23" s="6" t="s">
        <v>292</v>
      </c>
      <c r="E23" s="7"/>
    </row>
    <row r="24" customFormat="false" ht="48.75" hidden="false" customHeight="true" outlineLevel="0" collapsed="false">
      <c r="A24" s="65" t="s">
        <v>269</v>
      </c>
      <c r="B24" s="7" t="s">
        <v>291</v>
      </c>
      <c r="C24" s="6" t="s">
        <v>202</v>
      </c>
      <c r="D24" s="66" t="s">
        <v>293</v>
      </c>
      <c r="E24" s="7"/>
    </row>
    <row r="25" customFormat="false" ht="63.75" hidden="false" customHeight="true" outlineLevel="0" collapsed="false">
      <c r="A25" s="65" t="s">
        <v>269</v>
      </c>
      <c r="B25" s="7" t="s">
        <v>294</v>
      </c>
      <c r="C25" s="6" t="s">
        <v>199</v>
      </c>
      <c r="D25" s="6" t="s">
        <v>295</v>
      </c>
      <c r="E25" s="7" t="s">
        <v>296</v>
      </c>
    </row>
    <row r="26" customFormat="false" ht="63.75" hidden="false" customHeight="true" outlineLevel="0" collapsed="false">
      <c r="A26" s="65" t="s">
        <v>269</v>
      </c>
      <c r="B26" s="7" t="s">
        <v>294</v>
      </c>
      <c r="C26" s="6" t="s">
        <v>202</v>
      </c>
      <c r="D26" s="66" t="s">
        <v>297</v>
      </c>
      <c r="E26" s="7"/>
    </row>
    <row r="27" customFormat="false" ht="48.75" hidden="false" customHeight="true" outlineLevel="0" collapsed="false">
      <c r="A27" s="5" t="s">
        <v>298</v>
      </c>
      <c r="B27" s="7" t="s">
        <v>299</v>
      </c>
      <c r="C27" s="6" t="s">
        <v>199</v>
      </c>
      <c r="D27" s="6" t="s">
        <v>300</v>
      </c>
      <c r="E27" s="7" t="s">
        <v>276</v>
      </c>
    </row>
    <row r="28" customFormat="false" ht="48.75" hidden="false" customHeight="true" outlineLevel="0" collapsed="false">
      <c r="A28" s="65" t="s">
        <v>298</v>
      </c>
      <c r="B28" s="7" t="s">
        <v>299</v>
      </c>
      <c r="C28" s="6" t="s">
        <v>202</v>
      </c>
      <c r="D28" s="66" t="s">
        <v>301</v>
      </c>
      <c r="E28" s="7" t="s">
        <v>276</v>
      </c>
    </row>
    <row r="29" customFormat="false" ht="33.75" hidden="false" customHeight="true" outlineLevel="0" collapsed="false">
      <c r="A29" s="65" t="s">
        <v>298</v>
      </c>
      <c r="B29" s="7" t="s">
        <v>302</v>
      </c>
      <c r="C29" s="6" t="s">
        <v>199</v>
      </c>
      <c r="D29" s="6" t="s">
        <v>303</v>
      </c>
      <c r="E29" s="7" t="s">
        <v>304</v>
      </c>
    </row>
    <row r="30" customFormat="false" ht="48.75" hidden="false" customHeight="true" outlineLevel="0" collapsed="false">
      <c r="A30" s="65" t="s">
        <v>298</v>
      </c>
      <c r="B30" s="7" t="s">
        <v>302</v>
      </c>
      <c r="C30" s="6" t="s">
        <v>202</v>
      </c>
      <c r="D30" s="66" t="s">
        <v>305</v>
      </c>
      <c r="E30" s="7"/>
    </row>
    <row r="31" customFormat="false" ht="33.75" hidden="false" customHeight="true" outlineLevel="0" collapsed="false">
      <c r="A31" s="65" t="s">
        <v>298</v>
      </c>
      <c r="B31" s="7" t="s">
        <v>306</v>
      </c>
      <c r="C31" s="6" t="s">
        <v>199</v>
      </c>
      <c r="D31" s="6" t="s">
        <v>307</v>
      </c>
      <c r="E31" s="7"/>
    </row>
    <row r="32" customFormat="false" ht="33.75" hidden="false" customHeight="true" outlineLevel="0" collapsed="false">
      <c r="A32" s="65" t="s">
        <v>298</v>
      </c>
      <c r="B32" s="7" t="s">
        <v>306</v>
      </c>
      <c r="C32" s="6" t="s">
        <v>202</v>
      </c>
      <c r="D32" s="66" t="s">
        <v>308</v>
      </c>
      <c r="E32" s="7"/>
    </row>
    <row r="33" customFormat="false" ht="48.75" hidden="false" customHeight="true" outlineLevel="0" collapsed="false">
      <c r="A33" s="65" t="s">
        <v>298</v>
      </c>
      <c r="B33" s="7" t="s">
        <v>309</v>
      </c>
      <c r="C33" s="6" t="s">
        <v>199</v>
      </c>
      <c r="D33" s="6" t="s">
        <v>310</v>
      </c>
      <c r="E33" s="7" t="s">
        <v>311</v>
      </c>
    </row>
    <row r="34" customFormat="false" ht="48.75" hidden="false" customHeight="true" outlineLevel="0" collapsed="false">
      <c r="A34" s="65" t="s">
        <v>298</v>
      </c>
      <c r="B34" s="7" t="s">
        <v>309</v>
      </c>
      <c r="C34" s="6" t="s">
        <v>202</v>
      </c>
      <c r="D34" s="66" t="s">
        <v>312</v>
      </c>
      <c r="E34" s="7"/>
    </row>
    <row r="35" customFormat="false" ht="33.75" hidden="false" customHeight="true" outlineLevel="0" collapsed="false">
      <c r="A35" s="65" t="s">
        <v>298</v>
      </c>
      <c r="B35" s="7" t="s">
        <v>313</v>
      </c>
      <c r="C35" s="6" t="s">
        <v>199</v>
      </c>
      <c r="D35" s="6" t="s">
        <v>314</v>
      </c>
      <c r="E35" s="7"/>
    </row>
    <row r="36" customFormat="false" ht="48.75" hidden="false" customHeight="true" outlineLevel="0" collapsed="false">
      <c r="A36" s="65" t="s">
        <v>298</v>
      </c>
      <c r="B36" s="7" t="s">
        <v>313</v>
      </c>
      <c r="C36" s="6" t="s">
        <v>202</v>
      </c>
      <c r="D36" s="66" t="s">
        <v>315</v>
      </c>
      <c r="E36" s="7"/>
    </row>
    <row r="37" customFormat="false" ht="25.5" hidden="false" customHeight="true" outlineLevel="0" collapsed="false">
      <c r="A37" s="65" t="s">
        <v>298</v>
      </c>
      <c r="B37" s="7" t="s">
        <v>316</v>
      </c>
      <c r="C37" s="6" t="s">
        <v>199</v>
      </c>
      <c r="D37" s="6" t="s">
        <v>317</v>
      </c>
      <c r="E37" s="7" t="s">
        <v>318</v>
      </c>
    </row>
    <row r="38" customFormat="false" ht="25.5" hidden="false" customHeight="true" outlineLevel="0" collapsed="false">
      <c r="A38" s="65" t="s">
        <v>298</v>
      </c>
      <c r="B38" s="7" t="s">
        <v>316</v>
      </c>
      <c r="C38" s="6" t="s">
        <v>202</v>
      </c>
      <c r="D38" s="66" t="s">
        <v>319</v>
      </c>
      <c r="E38" s="7"/>
    </row>
    <row r="39" customFormat="false" ht="48.75" hidden="false" customHeight="true" outlineLevel="0" collapsed="false">
      <c r="A39" s="65" t="s">
        <v>298</v>
      </c>
      <c r="B39" s="7" t="s">
        <v>320</v>
      </c>
      <c r="C39" s="6" t="s">
        <v>199</v>
      </c>
      <c r="D39" s="6" t="s">
        <v>321</v>
      </c>
      <c r="E39" s="7" t="s">
        <v>322</v>
      </c>
    </row>
    <row r="40" customFormat="false" ht="48.75" hidden="false" customHeight="true" outlineLevel="0" collapsed="false">
      <c r="A40" s="65" t="s">
        <v>298</v>
      </c>
      <c r="B40" s="7" t="s">
        <v>320</v>
      </c>
      <c r="C40" s="6" t="s">
        <v>202</v>
      </c>
      <c r="D40" s="66" t="s">
        <v>323</v>
      </c>
      <c r="E40" s="7"/>
    </row>
    <row r="41" customFormat="false" ht="48.75" hidden="false" customHeight="true" outlineLevel="0" collapsed="false">
      <c r="A41" s="65" t="s">
        <v>298</v>
      </c>
      <c r="B41" s="7" t="s">
        <v>324</v>
      </c>
      <c r="C41" s="6" t="s">
        <v>199</v>
      </c>
      <c r="D41" s="6" t="s">
        <v>325</v>
      </c>
      <c r="E41" s="7"/>
    </row>
    <row r="42" customFormat="false" ht="48.75" hidden="false" customHeight="true" outlineLevel="0" collapsed="false">
      <c r="A42" s="65" t="s">
        <v>298</v>
      </c>
      <c r="B42" s="7" t="s">
        <v>324</v>
      </c>
      <c r="C42" s="6" t="s">
        <v>202</v>
      </c>
      <c r="D42" s="66" t="s">
        <v>326</v>
      </c>
      <c r="E42" s="7"/>
    </row>
    <row r="43" customFormat="false" ht="48.75" hidden="false" customHeight="true" outlineLevel="0" collapsed="false">
      <c r="A43" s="65" t="s">
        <v>298</v>
      </c>
      <c r="B43" s="7" t="s">
        <v>327</v>
      </c>
      <c r="C43" s="6" t="s">
        <v>199</v>
      </c>
      <c r="D43" s="6" t="s">
        <v>328</v>
      </c>
      <c r="E43" s="6" t="s">
        <v>329</v>
      </c>
    </row>
    <row r="44" customFormat="false" ht="48.75" hidden="false" customHeight="true" outlineLevel="0" collapsed="false">
      <c r="A44" s="65" t="s">
        <v>298</v>
      </c>
      <c r="B44" s="7" t="s">
        <v>327</v>
      </c>
      <c r="C44" s="6" t="s">
        <v>202</v>
      </c>
      <c r="D44" s="66" t="s">
        <v>330</v>
      </c>
      <c r="E44" s="7"/>
    </row>
    <row r="45" customFormat="false" ht="25.5" hidden="false" customHeight="true" outlineLevel="0" collapsed="false">
      <c r="A45" s="5" t="s">
        <v>331</v>
      </c>
      <c r="B45" s="6" t="s">
        <v>332</v>
      </c>
      <c r="C45" s="7" t="s">
        <v>245</v>
      </c>
      <c r="D45" s="7" t="s">
        <v>333</v>
      </c>
      <c r="E45" s="4" t="s">
        <v>334</v>
      </c>
    </row>
    <row r="46" customFormat="false" ht="33.75" hidden="false" customHeight="true" outlineLevel="0" collapsed="false">
      <c r="A46" s="65" t="s">
        <v>331</v>
      </c>
      <c r="B46" s="6" t="s">
        <v>335</v>
      </c>
      <c r="C46" s="7" t="s">
        <v>245</v>
      </c>
      <c r="D46" s="7" t="s">
        <v>336</v>
      </c>
      <c r="E46" s="4" t="s">
        <v>334</v>
      </c>
    </row>
    <row r="47" customFormat="false" ht="33.75" hidden="false" customHeight="true" outlineLevel="0" collapsed="false">
      <c r="A47" s="65" t="s">
        <v>331</v>
      </c>
      <c r="B47" s="6" t="s">
        <v>337</v>
      </c>
      <c r="C47" s="7" t="s">
        <v>245</v>
      </c>
      <c r="D47" s="7" t="s">
        <v>338</v>
      </c>
      <c r="E47" s="4" t="s">
        <v>334</v>
      </c>
    </row>
    <row r="48" customFormat="false" ht="25.5" hidden="false" customHeight="true" outlineLevel="0" collapsed="false">
      <c r="A48" s="65" t="s">
        <v>331</v>
      </c>
      <c r="B48" s="6" t="s">
        <v>339</v>
      </c>
      <c r="C48" s="7" t="s">
        <v>245</v>
      </c>
      <c r="D48" s="7" t="s">
        <v>340</v>
      </c>
      <c r="E48" s="4" t="s">
        <v>334</v>
      </c>
    </row>
    <row r="49" customFormat="false" ht="25.5" hidden="false" customHeight="true" outlineLevel="0" collapsed="false">
      <c r="A49" s="65" t="s">
        <v>331</v>
      </c>
      <c r="B49" s="7" t="s">
        <v>341</v>
      </c>
      <c r="C49" s="7" t="s">
        <v>245</v>
      </c>
      <c r="D49" s="7" t="s">
        <v>342</v>
      </c>
      <c r="E49" s="4" t="s">
        <v>334</v>
      </c>
    </row>
    <row r="50" customFormat="false" ht="25.5" hidden="false" customHeight="true" outlineLevel="0" collapsed="false">
      <c r="A50" s="65" t="s">
        <v>331</v>
      </c>
      <c r="B50" s="7" t="s">
        <v>343</v>
      </c>
      <c r="C50" s="7" t="s">
        <v>245</v>
      </c>
      <c r="D50" s="7" t="s">
        <v>344</v>
      </c>
      <c r="E50" s="4" t="s">
        <v>334</v>
      </c>
    </row>
    <row r="51" customFormat="false" ht="33.75" hidden="false" customHeight="true" outlineLevel="0" collapsed="false">
      <c r="A51" s="65" t="s">
        <v>331</v>
      </c>
      <c r="B51" s="7" t="s">
        <v>345</v>
      </c>
      <c r="C51" s="7" t="s">
        <v>245</v>
      </c>
      <c r="D51" s="7" t="s">
        <v>346</v>
      </c>
      <c r="E51" s="4" t="s">
        <v>334</v>
      </c>
    </row>
    <row r="52" customFormat="false" ht="33.75" hidden="false" customHeight="true" outlineLevel="0" collapsed="false">
      <c r="A52" s="65" t="s">
        <v>331</v>
      </c>
      <c r="B52" s="6" t="s">
        <v>347</v>
      </c>
      <c r="C52" s="7" t="s">
        <v>245</v>
      </c>
      <c r="D52" s="6" t="s">
        <v>348</v>
      </c>
      <c r="E52" s="4" t="s">
        <v>334</v>
      </c>
    </row>
    <row r="53" customFormat="false" ht="25.5" hidden="false" customHeight="true" outlineLevel="0" collapsed="false">
      <c r="A53" s="65" t="s">
        <v>331</v>
      </c>
      <c r="B53" s="7" t="s">
        <v>349</v>
      </c>
      <c r="C53" s="7" t="s">
        <v>245</v>
      </c>
      <c r="D53" s="7" t="s">
        <v>350</v>
      </c>
      <c r="E53" s="4" t="s">
        <v>334</v>
      </c>
    </row>
    <row r="54" customFormat="false" ht="63.75" hidden="false" customHeight="true" outlineLevel="0" collapsed="false">
      <c r="A54" s="5" t="s">
        <v>351</v>
      </c>
      <c r="B54" s="7" t="s">
        <v>352</v>
      </c>
      <c r="C54" s="7" t="s">
        <v>245</v>
      </c>
      <c r="D54" s="7" t="s">
        <v>353</v>
      </c>
      <c r="E54" s="4" t="s">
        <v>334</v>
      </c>
    </row>
    <row r="55" customFormat="false" ht="25.5" hidden="false" customHeight="true" outlineLevel="0" collapsed="false">
      <c r="A55" s="65" t="s">
        <v>351</v>
      </c>
      <c r="B55" s="7" t="s">
        <v>354</v>
      </c>
      <c r="C55" s="7" t="s">
        <v>245</v>
      </c>
      <c r="D55" s="7" t="s">
        <v>355</v>
      </c>
      <c r="E55" s="4" t="s">
        <v>334</v>
      </c>
    </row>
    <row r="56" customFormat="false" ht="25.5" hidden="false" customHeight="true" outlineLevel="0" collapsed="false">
      <c r="A56" s="65" t="s">
        <v>351</v>
      </c>
      <c r="B56" s="6" t="s">
        <v>356</v>
      </c>
      <c r="C56" s="7" t="s">
        <v>245</v>
      </c>
      <c r="D56" s="7" t="s">
        <v>357</v>
      </c>
      <c r="E56" s="4" t="s">
        <v>334</v>
      </c>
    </row>
    <row r="57" customFormat="false" ht="25.5" hidden="false" customHeight="true" outlineLevel="0" collapsed="false">
      <c r="A57" s="65" t="s">
        <v>351</v>
      </c>
      <c r="B57" s="7" t="s">
        <v>358</v>
      </c>
      <c r="C57" s="7" t="s">
        <v>245</v>
      </c>
      <c r="D57" s="6" t="s">
        <v>359</v>
      </c>
      <c r="E57" s="4" t="s">
        <v>334</v>
      </c>
    </row>
    <row r="58" customFormat="false" ht="25.5" hidden="false" customHeight="true" outlineLevel="0" collapsed="false">
      <c r="A58" s="65" t="s">
        <v>351</v>
      </c>
      <c r="B58" s="7" t="s">
        <v>360</v>
      </c>
      <c r="C58" s="7" t="s">
        <v>245</v>
      </c>
      <c r="D58" s="7" t="s">
        <v>361</v>
      </c>
      <c r="E58" s="4" t="s">
        <v>334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2026-06-22T03:04:11Z</dcterms:created>
  <dc:creator>openpyxl</dc:creator>
  <dc:description/>
  <dc:language>zh-CN</dc:language>
  <cp:lastModifiedBy/>
  <dcterms:modified xsi:type="dcterms:W3CDTF">2026-06-22T03:04:11Z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