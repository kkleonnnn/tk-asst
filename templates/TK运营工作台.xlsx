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参数配置" sheetId="2" state="visible" r:id="rId2"/>
    <sheet xmlns:r="http://schemas.openxmlformats.org/officeDocument/2006/relationships" name="SKU主表" sheetId="3" state="visible" r:id="rId3"/>
    <sheet xmlns:r="http://schemas.openxmlformats.org/officeDocument/2006/relationships" name="选品打分" sheetId="4" state="visible" r:id="rId4"/>
    <sheet xmlns:r="http://schemas.openxmlformats.org/officeDocument/2006/relationships" name="利润计算" sheetId="5" state="visible" r:id="rId5"/>
    <sheet xmlns:r="http://schemas.openxmlformats.org/officeDocument/2006/relationships" name="商品四象限分层" sheetId="6" state="visible" r:id="rId6"/>
    <sheet xmlns:r="http://schemas.openxmlformats.org/officeDocument/2006/relationships" name="达人邀约话术" sheetId="7" state="visible" r:id="rId7"/>
    <sheet xmlns:r="http://schemas.openxmlformats.org/officeDocument/2006/relationships" name="客服FAQ+自动回复" sheetId="8" state="visible" r:id="rId8"/>
  </sheets>
  <definedNames>
    <definedName name="编号清单">'SKU主表'!$A$4:$A$203</definedName>
    <definedName name="_xlnm._FilterDatabase" localSheetId="3" hidden="1">'选品打分'!$A$4:$P$204</definedName>
    <definedName name="_xlnm._FilterDatabase" localSheetId="4" hidden="1">'利润计算'!$A$3:$Z$203</definedName>
    <definedName name="_xlnm._FilterDatabase" localSheetId="5" hidden="1">'商品四象限分层'!$A$3:$P$203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%"/>
    <numFmt numFmtId="166" formatCode="&quot;RM&quot;#,##0.00;(&quot;RM&quot;#,##0.00);&quot;-&quot;"/>
    <numFmt numFmtId="167" formatCode="&quot;¥&quot;#,##0.00;(&quot;¥&quot;#,##0.00);&quot;-&quot;"/>
    <numFmt numFmtId="168" formatCode="yyyy-mm-dd"/>
  </numFmts>
  <fonts count="15">
    <font>
      <name val="Calibri"/>
      <family val="2"/>
      <color theme="1"/>
      <sz val="11"/>
      <scheme val="minor"/>
    </font>
    <font>
      <name val="PingFang SC"/>
      <b val="1"/>
      <color rgb="00FFFFFF"/>
      <sz val="14"/>
    </font>
    <font>
      <name val="PingFang SC"/>
      <i val="1"/>
      <color rgb="00404040"/>
      <sz val="9"/>
    </font>
    <font>
      <name val="PingFang SC"/>
      <b val="1"/>
      <color rgb="009C0006"/>
      <sz val="10"/>
    </font>
    <font>
      <name val="PingFang SC"/>
      <color rgb="00000000"/>
      <sz val="10"/>
    </font>
    <font>
      <name val="PingFang SC"/>
      <b val="1"/>
      <color rgb="00000000"/>
      <sz val="10"/>
    </font>
    <font>
      <name val="PingFang SC"/>
      <b val="1"/>
      <color rgb="00FFFFFF"/>
      <sz val="10"/>
    </font>
    <font>
      <name val="PingFang SC"/>
      <color rgb="000000FF"/>
      <sz val="10"/>
    </font>
    <font>
      <name val="PingFang SC"/>
      <color rgb="00008000"/>
      <sz val="10"/>
    </font>
    <font>
      <name val="PingFang SC"/>
      <b val="1"/>
      <color rgb="001F4E5F"/>
      <sz val="10"/>
    </font>
    <font>
      <name val="PingFang SC"/>
      <b val="1"/>
      <color rgb="000000FF"/>
      <sz val="10"/>
    </font>
    <font>
      <name val="PingFang SC"/>
      <color rgb="00808080"/>
      <sz val="10"/>
    </font>
    <font>
      <name val="PingFang SC"/>
      <color rgb="00404040"/>
      <sz val="9"/>
    </font>
    <font>
      <name val="PingFang SC"/>
      <color rgb="000563C1"/>
      <sz val="8"/>
      <u val="single"/>
    </font>
    <font>
      <name val="PingFang SC"/>
      <color rgb="001F4E5F"/>
      <sz val="10"/>
    </font>
  </fonts>
  <fills count="10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FFFDF5"/>
      </patternFill>
    </fill>
    <fill>
      <patternFill patternType="solid">
        <fgColor rgb="00DCE6F1"/>
      </patternFill>
    </fill>
    <fill>
      <patternFill patternType="solid">
        <fgColor rgb="00FFFF00"/>
      </patternFill>
    </fill>
    <fill>
      <patternFill patternType="solid">
        <fgColor rgb="00FBE9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6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10" fillId="8" borderId="1" applyAlignment="1" applyProtection="1" pivotButton="0" quotePrefix="0" xfId="0">
      <alignment horizontal="center" vertical="center"/>
      <protection locked="0" hidden="0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top" wrapText="1"/>
    </xf>
    <xf numFmtId="165" fontId="10" fillId="8" borderId="1" applyAlignment="1" applyProtection="1" pivotButton="0" quotePrefix="0" xfId="0">
      <alignment horizontal="center" vertical="center"/>
      <protection locked="0" hidden="0"/>
    </xf>
    <xf numFmtId="166" fontId="10" fillId="8" borderId="1" applyAlignment="1" applyProtection="1" pivotButton="0" quotePrefix="0" xfId="0">
      <alignment horizontal="center" vertical="center"/>
      <protection locked="0" hidden="0"/>
    </xf>
    <xf numFmtId="3" fontId="10" fillId="8" borderId="1" applyAlignment="1" applyProtection="1" pivotButton="0" quotePrefix="0" xfId="0">
      <alignment horizontal="center" vertical="center"/>
      <protection locked="0" hidden="0"/>
    </xf>
    <xf numFmtId="2" fontId="10" fillId="8" borderId="1" applyAlignment="1" applyProtection="1" pivotButton="0" quotePrefix="0" xfId="0">
      <alignment horizontal="center" vertical="center"/>
      <protection locked="0" hidden="0"/>
    </xf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7" fillId="6" borderId="1" applyAlignment="1" applyProtection="1" pivotButton="0" quotePrefix="0" xfId="0">
      <alignment horizontal="center" vertical="center"/>
      <protection locked="0" hidden="0"/>
    </xf>
    <xf numFmtId="10" fontId="10" fillId="8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0" fontId="12" fillId="0" borderId="1" applyAlignment="1" applyProtection="1" pivotButton="0" quotePrefix="0" xfId="0">
      <alignment horizontal="left" vertical="top" wrapText="1"/>
      <protection locked="0" hidden="0"/>
    </xf>
    <xf numFmtId="0" fontId="4" fillId="9" borderId="1" applyAlignment="1" pivotButton="0" quotePrefix="0" xfId="0">
      <alignment horizontal="left" vertical="center"/>
    </xf>
    <xf numFmtId="167" fontId="4" fillId="9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8" fontId="4" fillId="9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5" fontId="10" fillId="4" borderId="1" applyAlignment="1" applyProtection="1" pivotButton="0" quotePrefix="0" xfId="0">
      <alignment horizontal="center" vertical="center"/>
      <protection locked="0" hidden="0"/>
    </xf>
    <xf numFmtId="165" fontId="5" fillId="0" borderId="1" applyAlignment="1" pivotButton="0" quotePrefix="0" xfId="0">
      <alignment horizontal="center" vertical="center"/>
    </xf>
    <xf numFmtId="0" fontId="7" fillId="9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" fontId="7" fillId="9" borderId="1" applyAlignment="1" applyProtection="1" pivotButton="0" quotePrefix="0" xfId="0">
      <alignment horizontal="center" vertical="center"/>
      <protection locked="0" hidden="0"/>
    </xf>
    <xf numFmtId="2" fontId="5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0" fontId="7" fillId="0" borderId="1" applyAlignment="1" applyProtection="1" pivotButton="0" quotePrefix="0" xfId="0">
      <alignment horizontal="center" vertical="center"/>
      <protection locked="0" hidden="0"/>
    </xf>
    <xf numFmtId="1" fontId="7" fillId="0" borderId="1" applyAlignment="1" applyProtection="1" pivotButton="0" quotePrefix="0" xfId="0">
      <alignment horizontal="center" vertical="center"/>
      <protection locked="0" hidden="0"/>
    </xf>
    <xf numFmtId="166" fontId="7" fillId="9" borderId="1" applyAlignment="1" applyProtection="1" pivotButton="0" quotePrefix="0" xfId="0">
      <alignment horizontal="center" vertical="center"/>
      <protection locked="0" hidden="0"/>
    </xf>
    <xf numFmtId="165" fontId="7" fillId="9" borderId="1" applyAlignment="1" applyProtection="1" pivotButton="0" quotePrefix="0" xfId="0">
      <alignment horizontal="center" vertical="center"/>
      <protection locked="0" hidden="0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7" fillId="0" borderId="1" applyAlignment="1" applyProtection="1" pivotButton="0" quotePrefix="0" xfId="0">
      <alignment horizontal="center" vertical="center"/>
      <protection locked="0" hidden="0"/>
    </xf>
    <xf numFmtId="165" fontId="7" fillId="0" borderId="1" applyAlignment="1" applyProtection="1" pivotButton="0" quotePrefix="0" xfId="0">
      <alignment horizontal="center" vertical="center"/>
      <protection locked="0" hidden="0"/>
    </xf>
    <xf numFmtId="3" fontId="7" fillId="9" borderId="1" applyAlignment="1" applyProtection="1" pivotButton="0" quotePrefix="0" xfId="0">
      <alignment horizontal="center" vertical="center"/>
      <protection locked="0" hidden="0"/>
    </xf>
    <xf numFmtId="3" fontId="7" fillId="0" borderId="1" applyAlignment="1" applyProtection="1" pivotButton="0" quotePrefix="0" xfId="0">
      <alignment horizontal="center" vertical="center"/>
      <protection locked="0" hidden="0"/>
    </xf>
    <xf numFmtId="0" fontId="1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ont>
        <name val="PingFang SC"/>
        <b val="1"/>
        <color rgb="009C0006"/>
        <sz val="10"/>
      </font>
      <fill>
        <patternFill patternType="solid">
          <fgColor rgb="00FFC7CE"/>
        </patternFill>
      </fill>
    </dxf>
    <dxf>
      <font>
        <name val="PingFang SC"/>
        <b val="1"/>
        <color rgb="00BF8F00"/>
        <sz val="10"/>
      </font>
      <fill>
        <patternFill patternType="solid">
          <fgColor rgb="00FFF2CC"/>
        </patternFill>
      </fill>
    </dxf>
    <dxf>
      <font>
        <name val="PingFang SC"/>
        <b val="1"/>
        <color rgb="00008000"/>
        <sz val="10"/>
      </font>
      <fill>
        <patternFill patternType="solid">
          <fgColor rgb="00E2EFDA"/>
        </patternFill>
      </fill>
    </dxf>
    <dxf>
      <font>
        <name val="PingFang SC"/>
        <b val="1"/>
        <color rgb="009C0006"/>
        <sz val="10"/>
      </font>
    </dxf>
    <dxf>
      <font>
        <name val="PingFang SC"/>
        <b val="1"/>
        <color rgb="00008000"/>
        <sz val="10"/>
      </font>
    </dxf>
    <dxf>
      <fill>
        <patternFill patternType="solid">
          <fgColor rgb="00FFF2CC"/>
        </patternFill>
      </fill>
    </dxf>
    <dxf>
      <font>
        <name val="PingFang SC"/>
        <b val="1"/>
        <color rgb="00BF8F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TK工作台</author>
  </authors>
  <commentList>
    <comment ref="B5" authorId="0" shapeId="0">
      <text>
        <t>进货价RMB ÷ 本汇率 = 进货成本MYR</t>
      </text>
    </comment>
    <comment ref="D20" authorId="0" shapeId="0">
      <text>
        <t>示例值，以后台核对为准；利润计算引用此格。</t>
      </text>
    </comment>
    <comment ref="D21" authorId="0" shapeId="0">
      <text>
        <t>示例值，以后台核对为准；利润计算引用此格。</t>
      </text>
    </comment>
    <comment ref="D22" authorId="0" shapeId="0">
      <text>
        <t>示例值，以后台核对为准；利润计算引用此格。</t>
      </text>
    </comment>
  </commentList>
</comments>
</file>

<file path=xl/comments/comment2.xml><?xml version="1.0" encoding="utf-8"?>
<comments xmlns="http://schemas.openxmlformats.org/spreadsheetml/2006/main">
  <authors>
    <author>TK工作台</author>
  </authors>
  <commentList>
    <comment ref="N3" authorId="0" shapeId="0">
      <text>
        <t>权重合计应=100%</t>
      </text>
    </comment>
  </commentList>
</comments>
</file>

<file path=xl/comments/comment3.xml><?xml version="1.0" encoding="utf-8"?>
<comments xmlns="http://schemas.openxmlformats.org/spreadsheetml/2006/main">
  <authors>
    <author>TK工作台</author>
  </authors>
  <commentList>
    <comment ref="H4" authorId="0" shapeId="0">
      <text>
        <t>默认=参数配置类目佣金率；某品类不同就在此格改成该品率。</t>
      </text>
    </comment>
  </commentList>
</comments>
</file>

<file path=xl/tables/table1.xml><?xml version="1.0" encoding="utf-8"?>
<table xmlns="http://schemas.openxmlformats.org/spreadsheetml/2006/main" id="1" name="SKUMaster" displayName="SKUMaster" ref="A3:M203" headerRowCount="1">
  <autoFilter ref="A3:M203"/>
  <tableColumns count="13">
    <tableColumn id="1" name="编号"/>
    <tableColumn id="2" name="品名"/>
    <tableColumn id="3" name="类目"/>
    <tableColumn id="4" name="货源链接(1688/PDD)"/>
    <tableColumn id="5" name="进货价RMB"/>
    <tableColumn id="6" name="重量g"/>
    <tableColumn id="7" name="尺寸"/>
    <tableColumn id="8" name="清真合规"/>
    <tableColumn id="9" name="禁限售核查"/>
    <tableColumn id="10" name="532分类"/>
    <tableColumn id="11" name="状态"/>
    <tableColumn id="12" name="上架日期"/>
    <tableColumn id="13" name="备注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eller-my.tiktok.com/university/essay?default_language=en&amp;knowledge_id=7753792938985218" TargetMode="External" Id="rId1"/><Relationship Type="http://schemas.openxmlformats.org/officeDocument/2006/relationships/hyperlink" Target="https://seller-my.tiktok.com/university/essay?default_language=en&amp;knowledge_id=7992113007347457" TargetMode="External" Id="rId2"/><Relationship Type="http://schemas.openxmlformats.org/officeDocument/2006/relationships/hyperlink" Target="https://seller-my.tiktok.com/university/essay?default_language=ms-MY&amp;knowledge_id=6907739532281602" TargetMode="External" Id="rId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88" customWidth="1" min="3" max="3"/>
    <col width="3" customWidth="1" min="4" max="4"/>
  </cols>
  <sheetData>
    <row r="1" ht="26" customHeight="1">
      <c r="A1" s="1" t="inlineStr">
        <is>
          <t>运营工作台 · 使用说明 (v2)</t>
        </is>
      </c>
    </row>
    <row r="2" ht="34" customHeight="1">
      <c r="A2" s="2" t="inlineStr">
        <is>
          <t>本工作簿是『模板』。规则源=templates/运营工作台-规格与规则源.md(v2)；真实店铺数据请复制为本地工作副本填写，不要提交 git。v2 据 issue #1 修订。</t>
        </is>
      </c>
    </row>
    <row r="4">
      <c r="B4" s="3" t="inlineStr">
        <is>
          <t>① 第一步</t>
        </is>
      </c>
      <c r="C4" s="4" t="inlineStr">
        <is>
          <t>复制本模板为你的工作副本（放本地、勿提交 git，含真实店铺数据）。在副本里填数据、做运营。</t>
        </is>
      </c>
    </row>
    <row r="5">
      <c r="B5" s="3" t="inlineStr">
        <is>
          <t>② 只填输入区</t>
        </is>
      </c>
      <c r="C5" s="4" t="inlineStr">
        <is>
          <t>🔒 公式区/结果区/跨表引用区已锁定 + 工作表保护；你只需填 **蓝色/浅黄输入格**（编号、售价、打分、曝光等）。保护无密码，需要插行/改结构时：Excel『审阅→撤消工作表保护』即可，改完可再保护。</t>
        </is>
      </c>
    </row>
    <row r="6">
      <c r="B6" s="5" t="inlineStr">
        <is>
          <t>③ 编号怎么填</t>
        </is>
      </c>
      <c r="C6" s="6" t="inlineStr">
        <is>
          <t>选品打分/利润计算/四象限的『编号』列是 **下拉**（来自 SKU主表 的编号）。先在 SKU主表 录入 SKU，下拉里就能选到。</t>
        </is>
      </c>
    </row>
    <row r="7">
      <c r="B7" s="5" t="inlineStr">
        <is>
          <t>④ 使用流程</t>
        </is>
      </c>
      <c r="C7" s="6" t="inlineStr">
        <is>
          <t>SKU主表 录候选 → 选品打分 排序选 Top → 选中的进 利润计算 试价（看保本价/达标价红线）→ 上架 → 商品四象限分层 回填漏斗复盘 → 回 SKU主表 迭代。</t>
        </is>
      </c>
    </row>
    <row r="8">
      <c r="B8" s="5" t="inlineStr">
        <is>
          <t>⑤ 改费率/税</t>
        </is>
      </c>
      <c r="C8" s="6" t="inlineStr">
        <is>
          <t>只改『参数配置』。费率走 **模式化配置区**：选卖家类型(Marketplace/Mall)、是否新商减免期，按后台核对后填『当前值』+『核对日期』+『来源』；利润计算只引用『当前值』。</t>
        </is>
      </c>
    </row>
    <row r="9">
      <c r="B9" s="5" t="inlineStr">
        <is>
          <t>⑥ 一票否决</t>
        </is>
      </c>
      <c r="C9" s="6" t="inlineStr">
        <is>
          <t>禁售/需资质未备/IP无授权/带球队logo → 选品自动判淘汰、不进利润表。SKU主表『禁限售核查』：禁售=红、需资质=黄。</t>
        </is>
      </c>
    </row>
    <row r="10">
      <c r="B10" s="5" t="inlineStr">
        <is>
          <t>⑦ 话术/FAQ</t>
        </is>
      </c>
      <c r="C10" s="6" t="inlineStr">
        <is>
          <t>达人邀约话术、客服FAQ 已给马来语/英语对照（这两个 sheet 未锁定，可自由增改）。不够用时找 AI 现生成马来语版贴回。</t>
        </is>
      </c>
    </row>
    <row r="11">
      <c r="B11" s="5" t="inlineStr">
        <is>
          <t>⑧ 已扩到 200 行</t>
        </is>
      </c>
      <c r="C11" s="6" t="inlineStr">
        <is>
          <t>SKU主表/选品打分/利润计算/四象限 的公式、下拉、条件格式、筛选已铺到第 200 行；SKU主表已转 Excel Table，可直接排序/筛选/续行。</t>
        </is>
      </c>
    </row>
    <row r="12">
      <c r="B12" s="7" t="inlineStr">
        <is>
          <t>⑨ 免责声明</t>
        </is>
      </c>
      <c r="C12" s="8" t="inlineStr">
        <is>
          <t>所有费率/税/SLA/物流时效均为资料口径，可能过期；定价/承诺前务必以 TikTok Shop 卖家中心/Help Center 当期为准。</t>
        </is>
      </c>
    </row>
    <row r="14">
      <c r="B14" s="9" t="inlineStr">
        <is>
          <t>颜色规范</t>
        </is>
      </c>
      <c r="C14" s="10" t="inlineStr"/>
    </row>
    <row r="15">
      <c r="B15" s="11" t="inlineStr">
        <is>
          <t>蓝色字/浅黄底</t>
        </is>
      </c>
      <c r="C15" s="6" t="inlineStr">
        <is>
          <t>可编辑输入格（你改的数字/选项）</t>
        </is>
      </c>
    </row>
    <row r="16">
      <c r="B16" s="6" t="inlineStr">
        <is>
          <t>黑色字</t>
        </is>
      </c>
      <c r="C16" s="6" t="inlineStr">
        <is>
          <t>公式/计算结果（已锁定，勿覆盖）</t>
        </is>
      </c>
    </row>
    <row r="17">
      <c r="B17" s="12" t="inlineStr">
        <is>
          <t>绿色字</t>
        </is>
      </c>
      <c r="C17" s="6" t="inlineStr">
        <is>
          <t>跨表引用（从 SKU主表/参数配置 自动带出，已锁定）</t>
        </is>
      </c>
    </row>
    <row r="18">
      <c r="B18" s="7" t="inlineStr">
        <is>
          <t>红色</t>
        </is>
      </c>
      <c r="C18" s="6" t="inlineStr">
        <is>
          <t>禁售 / 售价低于保本价(亏损) / 一票否决</t>
        </is>
      </c>
    </row>
    <row r="19">
      <c r="B19" s="13" t="inlineStr">
        <is>
          <t>浅黄</t>
        </is>
      </c>
      <c r="C19" s="6" t="inlineStr">
        <is>
          <t>需资质未备 / 未达目标利润率 / 退款率偏高 等待办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18" customWidth="1" min="4" max="4"/>
    <col width="50" customWidth="1" min="5" max="5"/>
    <col width="13" customWidth="1" min="6" max="6"/>
    <col width="26" customWidth="1" min="7" max="7"/>
  </cols>
  <sheetData>
    <row r="1" ht="26" customHeight="1">
      <c r="A1" s="1" t="inlineStr">
        <is>
          <t>参数配置 · 全局变量 + 费率模式化（issue #1 ③）</t>
        </is>
      </c>
    </row>
    <row r="2" ht="34" customHeight="1">
      <c r="A2" s="2" t="inlineStr">
        <is>
          <t>⚠️ 费率/税/SLA 以 TikTok Shop 官方后台当期为准；改动只改本表，其余 sheet 自动联动。下方分两区：A 全局参数（B列当前值）｜B 费率模式化配置（按卖家类型/新商减免区分，定价引用 D列『当前值』）。</t>
        </is>
      </c>
    </row>
    <row r="3">
      <c r="A3" s="14" t="inlineStr">
        <is>
          <t>A. 全局参数</t>
        </is>
      </c>
      <c r="B3" s="15" t="n"/>
      <c r="C3" s="15" t="n"/>
      <c r="D3" s="15" t="n"/>
      <c r="E3" s="15" t="n"/>
      <c r="F3" s="15" t="n"/>
      <c r="G3" s="15" t="n"/>
    </row>
    <row r="4">
      <c r="A4" s="16" t="inlineStr">
        <is>
          <t>参数</t>
        </is>
      </c>
      <c r="B4" s="17" t="inlineStr">
        <is>
          <t>当前值</t>
        </is>
      </c>
      <c r="C4" s="17" t="inlineStr">
        <is>
          <t>单位</t>
        </is>
      </c>
      <c r="D4" s="17" t="inlineStr">
        <is>
          <t>说明（口径 / 核对日期）</t>
        </is>
      </c>
      <c r="E4" s="18" t="n"/>
      <c r="F4" s="18" t="n"/>
      <c r="G4" s="18" t="n"/>
    </row>
    <row r="5" ht="26" customHeight="1">
      <c r="A5" s="6" t="inlineStr">
        <is>
          <t>汇率 MYR→RMB</t>
        </is>
      </c>
      <c r="B5" s="19" t="n">
        <v>1.6997</v>
      </c>
      <c r="C5" s="20" t="inlineStr">
        <is>
          <t>RMB/MYR</t>
        </is>
      </c>
      <c r="D5" s="21" t="inlineStr">
        <is>
          <t>资料口径；以当下实时汇率为准。以官方后台为准 ｜ 核对日期：____</t>
        </is>
      </c>
      <c r="E5" s="18" t="n"/>
      <c r="F5" s="18" t="n"/>
      <c r="G5" s="18" t="n"/>
    </row>
    <row r="6" ht="26" customHeight="1">
      <c r="A6" s="6" t="inlineStr">
        <is>
          <t>LVG 税率</t>
        </is>
      </c>
      <c r="B6" s="22" t="n">
        <v>0.1</v>
      </c>
      <c r="C6" s="20" t="inlineStr">
        <is>
          <t>%</t>
        </is>
      </c>
      <c r="D6" s="21" t="inlineStr">
        <is>
          <t>低价值进口税；适用售价 ≤ 下方上限。平台代收，此处算真实税负。以官方后台为准 ｜ 核对日期：____</t>
        </is>
      </c>
      <c r="E6" s="18" t="n"/>
      <c r="F6" s="18" t="n"/>
      <c r="G6" s="18" t="n"/>
    </row>
    <row r="7" ht="26" customHeight="1">
      <c r="A7" s="6" t="inlineStr">
        <is>
          <t>LVG 适用售价上限</t>
        </is>
      </c>
      <c r="B7" s="23" t="n">
        <v>500</v>
      </c>
      <c r="C7" s="20" t="inlineStr">
        <is>
          <t>MYR</t>
        </is>
      </c>
      <c r="D7" s="21" t="inlineStr">
        <is>
          <t>售价 ≤ RM500 适用 LVG；&gt;RM500 走常规进口（利润表自动提示）。</t>
        </is>
      </c>
      <c r="E7" s="18" t="n"/>
      <c r="F7" s="18" t="n"/>
      <c r="G7" s="18" t="n"/>
    </row>
    <row r="8" ht="26" customHeight="1">
      <c r="A8" s="6" t="inlineStr">
        <is>
          <t>达人佣金率（默认）</t>
        </is>
      </c>
      <c r="B8" s="22" t="n">
        <v>0.05</v>
      </c>
      <c r="C8" s="20" t="inlineStr">
        <is>
          <t>%</t>
        </is>
      </c>
      <c r="D8" s="21" t="inlineStr">
        <is>
          <t>视频带货默认 5%；主推/直播款 8–15%。签约前以实际谈判为准。</t>
        </is>
      </c>
      <c r="E8" s="18" t="n"/>
      <c r="F8" s="18" t="n"/>
      <c r="G8" s="18" t="n"/>
    </row>
    <row r="9" ht="26" customHeight="1">
      <c r="A9" s="6" t="inlineStr">
        <is>
          <t>目标利润率</t>
        </is>
      </c>
      <c r="B9" s="22" t="n">
        <v>0.2</v>
      </c>
      <c r="C9" s="20" t="inlineStr">
        <is>
          <t>%</t>
        </is>
      </c>
      <c r="D9" s="21" t="inlineStr">
        <is>
          <t>自行设定；用于反解『达标价红线』。</t>
        </is>
      </c>
      <c r="E9" s="18" t="n"/>
      <c r="F9" s="18" t="n"/>
      <c r="G9" s="18" t="n"/>
    </row>
    <row r="10" ht="26" customHeight="1">
      <c r="A10" s="6" t="inlineStr">
        <is>
          <t>退款损耗预留 %</t>
        </is>
      </c>
      <c r="B10" s="22" t="n">
        <v>0.03</v>
      </c>
      <c r="C10" s="20" t="inlineStr">
        <is>
          <t>%</t>
        </is>
      </c>
      <c r="D10" s="21" t="inlineStr">
        <is>
          <t>自行设定；马来退货率较低，按本店实际。</t>
        </is>
      </c>
      <c r="E10" s="18" t="n"/>
      <c r="F10" s="18" t="n"/>
      <c r="G10" s="18" t="n"/>
    </row>
    <row r="11" ht="26" customHeight="1">
      <c r="A11" s="6" t="inlineStr">
        <is>
          <t>广告预留 %</t>
        </is>
      </c>
      <c r="B11" s="22" t="n">
        <v>0.05</v>
      </c>
      <c r="C11" s="20" t="inlineStr">
        <is>
          <t>%</t>
        </is>
      </c>
      <c r="D11" s="21" t="inlineStr">
        <is>
          <t>自行设定；投流/加热预留成本占比。</t>
        </is>
      </c>
      <c r="E11" s="18" t="n"/>
      <c r="F11" s="18" t="n"/>
      <c r="G11" s="18" t="n"/>
    </row>
    <row r="12" ht="26" customHeight="1">
      <c r="A12" s="6" t="inlineStr">
        <is>
          <t>选品-优先上架 Top N</t>
        </is>
      </c>
      <c r="B12" s="24" t="n">
        <v>10</v>
      </c>
      <c r="C12" s="20" t="inlineStr">
        <is>
          <t>个</t>
        </is>
      </c>
      <c r="D12" s="21" t="inlineStr">
        <is>
          <t>加权总分排名前 N 判『优先上架』。</t>
        </is>
      </c>
      <c r="E12" s="18" t="n"/>
      <c r="F12" s="18" t="n"/>
      <c r="G12" s="18" t="n"/>
    </row>
    <row r="13" ht="26" customHeight="1">
      <c r="A13" s="6" t="inlineStr">
        <is>
          <t>选品-观察线（加权分1–5）</t>
        </is>
      </c>
      <c r="B13" s="25" t="n">
        <v>3.5</v>
      </c>
      <c r="C13" s="20" t="inlineStr">
        <is>
          <t>分</t>
        </is>
      </c>
      <c r="D13" s="21" t="inlineStr">
        <is>
          <t>加权总分 ≥ 此值但未进 TopN → 『观察跟进』。</t>
        </is>
      </c>
      <c r="E13" s="18" t="n"/>
      <c r="F13" s="18" t="n"/>
      <c r="G13" s="18" t="n"/>
    </row>
    <row r="14" ht="26" customHeight="1">
      <c r="A14" s="6" t="inlineStr">
        <is>
          <t>四象限-曝光阈值（流量轴）</t>
        </is>
      </c>
      <c r="B14" s="24" t="n">
        <v>1000</v>
      </c>
      <c r="C14" s="20" t="inlineStr">
        <is>
          <t>次/人</t>
        </is>
      </c>
      <c r="D14" s="21" t="inlineStr">
        <is>
          <t>曝光 ≥ 此值判『高流量』。按本店数据分布调。</t>
        </is>
      </c>
      <c r="E14" s="18" t="n"/>
      <c r="F14" s="18" t="n"/>
      <c r="G14" s="18" t="n"/>
    </row>
    <row r="15" ht="26" customHeight="1">
      <c r="A15" s="6" t="inlineStr">
        <is>
          <t>四象限-成交率阈值（转化轴）</t>
        </is>
      </c>
      <c r="B15" s="22" t="n">
        <v>0.08</v>
      </c>
      <c r="C15" s="20" t="inlineStr">
        <is>
          <t>%</t>
        </is>
      </c>
      <c r="D15" s="21" t="inlineStr">
        <is>
          <t>成交率(=成交/加购) ≥ 此值判『高转化』。</t>
        </is>
      </c>
      <c r="E15" s="18" t="n"/>
      <c r="F15" s="18" t="n"/>
      <c r="G15" s="18" t="n"/>
    </row>
    <row r="16" ht="26" customHeight="1">
      <c r="A16" s="6" t="inlineStr">
        <is>
          <t>四象限-退款率预警线</t>
        </is>
      </c>
      <c r="B16" s="22" t="n">
        <v>0.08</v>
      </c>
      <c r="C16" s="20" t="inlineStr">
        <is>
          <t>%</t>
        </is>
      </c>
      <c r="D16" s="21" t="inlineStr">
        <is>
          <t>退款率 &gt; 此值 → 标『⚠️退款率偏高』。</t>
        </is>
      </c>
      <c r="E16" s="18" t="n"/>
      <c r="F16" s="18" t="n"/>
      <c r="G16" s="18" t="n"/>
    </row>
    <row r="17">
      <c r="A17" s="18" t="n"/>
      <c r="B17" s="18" t="n"/>
      <c r="C17" s="18" t="n"/>
      <c r="D17" s="18" t="n"/>
      <c r="E17" s="18" t="n"/>
      <c r="F17" s="18" t="n"/>
      <c r="G17" s="18" t="n"/>
    </row>
    <row r="18">
      <c r="A18" s="14" t="inlineStr">
        <is>
          <t>B. 费率模式化配置（按卖家类型 / 新商减免区分；利润计算引用 D列『当前值』）</t>
        </is>
      </c>
      <c r="B18" s="18" t="n"/>
      <c r="C18" s="18" t="n"/>
      <c r="D18" s="18" t="n"/>
      <c r="E18" s="18" t="n"/>
      <c r="F18" s="18" t="n"/>
      <c r="G18" s="18" t="n"/>
    </row>
    <row r="19" ht="30" customHeight="1">
      <c r="A19" s="26" t="inlineStr">
        <is>
          <t>费率项</t>
        </is>
      </c>
      <c r="B19" s="26" t="inlineStr">
        <is>
          <t>卖家类型</t>
        </is>
      </c>
      <c r="C19" s="26" t="inlineStr">
        <is>
          <t>是否新商减免期</t>
        </is>
      </c>
      <c r="D19" s="26" t="inlineStr">
        <is>
          <t>当前值(引用)</t>
        </is>
      </c>
      <c r="E19" s="26" t="inlineStr">
        <is>
          <t>来源(官方链接)</t>
        </is>
      </c>
      <c r="F19" s="26" t="inlineStr">
        <is>
          <t>核对日期</t>
        </is>
      </c>
      <c r="G19" s="26" t="inlineStr">
        <is>
          <t>后台截图/链接备注</t>
        </is>
      </c>
    </row>
    <row r="20" ht="44" customHeight="1">
      <c r="A20" s="27" t="inlineStr">
        <is>
          <t>交易手续费</t>
        </is>
      </c>
      <c r="B20" s="28" t="n"/>
      <c r="C20" s="28" t="n"/>
      <c r="D20" s="29" t="n">
        <v>0.0378</v>
      </c>
      <c r="E20" s="30" t="inlineStr">
        <is>
          <t>https://seller-my.tiktok.com/university/essay?default_language=en&amp;knowledge_id=7753792938985218</t>
        </is>
      </c>
      <c r="F20" s="28" t="n"/>
      <c r="G20" s="31" t="inlineStr">
        <is>
          <t>示例 3.78%，含 8% SST，2024-09-05 起。核对后填当前值。</t>
        </is>
      </c>
    </row>
    <row r="21" ht="44" customHeight="1">
      <c r="A21" s="27" t="inlineStr">
        <is>
          <t>平台支持费</t>
        </is>
      </c>
      <c r="B21" s="28" t="n"/>
      <c r="C21" s="28" t="n"/>
      <c r="D21" s="23" t="n">
        <v>0.54</v>
      </c>
      <c r="E21" s="30" t="inlineStr">
        <is>
          <t>https://seller-my.tiktok.com/university/essay?default_language=en&amp;knowledge_id=7992113007347457</t>
        </is>
      </c>
      <c r="F21" s="28" t="n"/>
      <c r="G21" s="31" t="inlineStr">
        <is>
          <t>示例 RM0.54/单（RM0.50+8%SST），2026-02-15 起。</t>
        </is>
      </c>
    </row>
    <row r="22" ht="44" customHeight="1">
      <c r="A22" s="27" t="inlineStr">
        <is>
          <t>类目佣金率</t>
        </is>
      </c>
      <c r="B22" s="28" t="n"/>
      <c r="C22" s="28" t="n"/>
      <c r="D22" s="22" t="n">
        <v>0.08459999999999999</v>
      </c>
      <c r="E22" s="30" t="inlineStr">
        <is>
          <t>https://seller-my.tiktok.com/university/essay?default_language=ms-MY&amp;knowledge_id=6907739532281602</t>
        </is>
      </c>
      <c r="F22" s="28" t="n"/>
      <c r="G22" s="31" t="inlineStr">
        <is>
          <t>示例 8.46%（属类目佣金，非Mall 7–11%/Mall 10–15%，含SST；2025-09-13 起上调，BXP超补不受影响）。</t>
        </is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mergeCells count="15">
    <mergeCell ref="A1:G1"/>
    <mergeCell ref="D9:G9"/>
    <mergeCell ref="A18:G18"/>
    <mergeCell ref="D12:G12"/>
    <mergeCell ref="D8:G8"/>
    <mergeCell ref="D6:G6"/>
    <mergeCell ref="D16:G16"/>
    <mergeCell ref="D7:G7"/>
    <mergeCell ref="A2:G2"/>
    <mergeCell ref="D15:G15"/>
    <mergeCell ref="D11:G11"/>
    <mergeCell ref="D13:G13"/>
    <mergeCell ref="D10:G10"/>
    <mergeCell ref="D5:G5"/>
    <mergeCell ref="D14:G14"/>
  </mergeCells>
  <dataValidations count="2">
    <dataValidation sqref="B20:B22" showDropDown="0" showInputMessage="0" showErrorMessage="0" allowBlank="1" type="list">
      <formula1>"Marketplace,Mall,其他"</formula1>
    </dataValidation>
    <dataValidation sqref="C20:C22" showDropDown="0" showInputMessage="0" showErrorMessage="0" allowBlank="1" type="list">
      <formula1>"是,否"</formula1>
    </dataValidation>
  </dataValidations>
  <hyperlinks>
    <hyperlink xmlns:r="http://schemas.openxmlformats.org/officeDocument/2006/relationships" ref="E20" r:id="rId1"/>
    <hyperlink xmlns:r="http://schemas.openxmlformats.org/officeDocument/2006/relationships" ref="E21" r:id="rId2"/>
    <hyperlink xmlns:r="http://schemas.openxmlformats.org/officeDocument/2006/relationships" ref="E22" r:id="rId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22" customWidth="1" min="4" max="4"/>
    <col width="11" customWidth="1" min="5" max="5"/>
    <col width="8" customWidth="1" min="6" max="6"/>
    <col width="13" customWidth="1" min="7" max="7"/>
    <col width="11" customWidth="1" min="8" max="8"/>
    <col width="13" customWidth="1" min="9" max="9"/>
    <col width="13" customWidth="1" min="10" max="10"/>
    <col width="11" customWidth="1" min="11" max="11"/>
    <col width="12" customWidth="1" min="12" max="12"/>
    <col width="30" customWidth="1" min="13" max="13"/>
  </cols>
  <sheetData>
    <row r="1" ht="26" customHeight="1">
      <c r="A1" s="1" t="inlineStr">
        <is>
          <t>SKU 主表 · 候选商品台账（Excel Table，铺到 200 行）</t>
        </is>
      </c>
    </row>
    <row r="2" ht="34" customHeight="1">
      <c r="A2" s="2" t="inlineStr">
        <is>
          <t>贯穿全表的唯一商品来源；其它 sheet 用『编号』回查。禁限售核查：禁售→红(一票否决)、需资质→黄。进货价/重量为非负校验；清真/禁限售/532/状态为下拉。前 4 行示例可删。</t>
        </is>
      </c>
    </row>
    <row r="3" ht="30" customHeight="1">
      <c r="A3" s="26" t="inlineStr">
        <is>
          <t>编号</t>
        </is>
      </c>
      <c r="B3" s="26" t="inlineStr">
        <is>
          <t>品名</t>
        </is>
      </c>
      <c r="C3" s="26" t="inlineStr">
        <is>
          <t>类目</t>
        </is>
      </c>
      <c r="D3" s="26" t="inlineStr">
        <is>
          <t>货源链接(1688/PDD)</t>
        </is>
      </c>
      <c r="E3" s="26" t="inlineStr">
        <is>
          <t>进货价RMB</t>
        </is>
      </c>
      <c r="F3" s="26" t="inlineStr">
        <is>
          <t>重量g</t>
        </is>
      </c>
      <c r="G3" s="26" t="inlineStr">
        <is>
          <t>尺寸</t>
        </is>
      </c>
      <c r="H3" s="26" t="inlineStr">
        <is>
          <t>清真合规</t>
        </is>
      </c>
      <c r="I3" s="26" t="inlineStr">
        <is>
          <t>禁限售核查</t>
        </is>
      </c>
      <c r="J3" s="26" t="inlineStr">
        <is>
          <t>532分类</t>
        </is>
      </c>
      <c r="K3" s="26" t="inlineStr">
        <is>
          <t>状态</t>
        </is>
      </c>
      <c r="L3" s="26" t="inlineStr">
        <is>
          <t>上架日期</t>
        </is>
      </c>
      <c r="M3" s="26" t="inlineStr">
        <is>
          <t>备注</t>
        </is>
      </c>
    </row>
    <row r="4">
      <c r="A4" s="32" t="inlineStr">
        <is>
          <t>TKMY-001</t>
        </is>
      </c>
      <c r="B4" s="32" t="inlineStr">
        <is>
          <t>印花头巾 Hijab Bawal Printed</t>
        </is>
      </c>
      <c r="C4" s="32" t="inlineStr">
        <is>
          <t>穆斯林时尚/配饰</t>
        </is>
      </c>
      <c r="D4" s="32" t="inlineStr">
        <is>
          <t>1688：示例链接</t>
        </is>
      </c>
      <c r="E4" s="33" t="n">
        <v>7.5</v>
      </c>
      <c r="F4" s="34" t="n">
        <v>60</v>
      </c>
      <c r="G4" s="32" t="inlineStr">
        <is>
          <t>1.8m×1.8m</t>
        </is>
      </c>
      <c r="H4" s="35" t="inlineStr">
        <is>
          <t>是</t>
        </is>
      </c>
      <c r="I4" s="35" t="inlineStr">
        <is>
          <t>通过</t>
        </is>
      </c>
      <c r="J4" s="35" t="inlineStr">
        <is>
          <t>基础</t>
        </is>
      </c>
      <c r="K4" s="35" t="inlineStr">
        <is>
          <t>候选</t>
        </is>
      </c>
      <c r="L4" s="36" t="n"/>
      <c r="M4" s="32" t="inlineStr">
        <is>
          <t>斋月/开斋节高峰；轻小件扛运费</t>
        </is>
      </c>
    </row>
    <row r="5">
      <c r="A5" s="32" t="inlineStr">
        <is>
          <t>TKMY-002</t>
        </is>
      </c>
      <c r="B5" s="32" t="inlineStr">
        <is>
          <t>折叠除湿盒 Kotak Penyahlembap</t>
        </is>
      </c>
      <c r="C5" s="32" t="inlineStr">
        <is>
          <t>居家日用</t>
        </is>
      </c>
      <c r="D5" s="32" t="inlineStr">
        <is>
          <t>1688：示例链接</t>
        </is>
      </c>
      <c r="E5" s="33" t="n">
        <v>12</v>
      </c>
      <c r="F5" s="34" t="n">
        <v>150</v>
      </c>
      <c r="G5" s="32" t="inlineStr">
        <is>
          <t>12×8×8cm</t>
        </is>
      </c>
      <c r="H5" s="35" t="inlineStr">
        <is>
          <t>NA</t>
        </is>
      </c>
      <c r="I5" s="35" t="inlineStr">
        <is>
          <t>通过</t>
        </is>
      </c>
      <c r="J5" s="35" t="inlineStr">
        <is>
          <t>微创新</t>
        </is>
      </c>
      <c r="K5" s="35" t="inlineStr">
        <is>
          <t>候选</t>
        </is>
      </c>
      <c r="L5" s="36" t="n"/>
      <c r="M5" s="32" t="inlineStr">
        <is>
          <t>雨季防潮刚需；不可带宗教关键词</t>
        </is>
      </c>
    </row>
    <row r="6">
      <c r="A6" s="32" t="inlineStr">
        <is>
          <t>TKMY-003</t>
        </is>
      </c>
      <c r="B6" s="32" t="inlineStr">
        <is>
          <t>矫正近视框架眼镜</t>
        </is>
      </c>
      <c r="C6" s="32" t="inlineStr">
        <is>
          <t>眼镜</t>
        </is>
      </c>
      <c r="D6" s="32" t="inlineStr">
        <is>
          <t>1688：示例链接</t>
        </is>
      </c>
      <c r="E6" s="33" t="n">
        <v>20</v>
      </c>
      <c r="F6" s="34" t="n">
        <v>80</v>
      </c>
      <c r="G6" s="32" t="inlineStr">
        <is>
          <t>标准</t>
        </is>
      </c>
      <c r="H6" s="35" t="inlineStr">
        <is>
          <t>NA</t>
        </is>
      </c>
      <c r="I6" s="35" t="inlineStr">
        <is>
          <t>禁售</t>
        </is>
      </c>
      <c r="J6" s="35" t="inlineStr">
        <is>
          <t>趋势</t>
        </is>
      </c>
      <c r="K6" s="35" t="inlineStr">
        <is>
          <t>候选</t>
        </is>
      </c>
      <c r="L6" s="36" t="n"/>
      <c r="M6" s="32" t="inlineStr">
        <is>
          <t>⚠马来禁售矫正型眼镜→一票否决</t>
        </is>
      </c>
    </row>
    <row r="7">
      <c r="A7" s="32" t="inlineStr">
        <is>
          <t>TKMY-004</t>
        </is>
      </c>
      <c r="B7" s="32" t="inlineStr">
        <is>
          <t>儿童保湿面霜</t>
        </is>
      </c>
      <c r="C7" s="32" t="inlineStr">
        <is>
          <t>美妆个护/母婴</t>
        </is>
      </c>
      <c r="D7" s="32" t="inlineStr">
        <is>
          <t>1688：示例链接</t>
        </is>
      </c>
      <c r="E7" s="33" t="n">
        <v>10</v>
      </c>
      <c r="F7" s="34" t="n">
        <v>100</v>
      </c>
      <c r="G7" s="32" t="inlineStr">
        <is>
          <t>50g/瓶</t>
        </is>
      </c>
      <c r="H7" s="35" t="inlineStr">
        <is>
          <t>是</t>
        </is>
      </c>
      <c r="I7" s="35" t="inlineStr">
        <is>
          <t>需资质</t>
        </is>
      </c>
      <c r="J7" s="35" t="inlineStr">
        <is>
          <t>基础</t>
        </is>
      </c>
      <c r="K7" s="35" t="inlineStr">
        <is>
          <t>候选</t>
        </is>
      </c>
      <c r="L7" s="36" t="n"/>
      <c r="M7" s="32" t="inlineStr">
        <is>
          <t>健康个护/母婴限售,需资质未备→一票否决</t>
        </is>
      </c>
    </row>
    <row r="8">
      <c r="A8" s="37" t="n"/>
      <c r="B8" s="37" t="n"/>
      <c r="C8" s="37" t="n"/>
      <c r="D8" s="37" t="n"/>
      <c r="E8" s="38" t="n"/>
      <c r="F8" s="39" t="n"/>
      <c r="G8" s="37" t="n"/>
      <c r="H8" s="40" t="n"/>
      <c r="I8" s="40" t="n"/>
      <c r="J8" s="40" t="n"/>
      <c r="K8" s="40" t="n"/>
      <c r="L8" s="41" t="n"/>
      <c r="M8" s="37" t="n"/>
    </row>
    <row r="9">
      <c r="A9" s="37" t="n"/>
      <c r="B9" s="37" t="n"/>
      <c r="C9" s="37" t="n"/>
      <c r="D9" s="37" t="n"/>
      <c r="E9" s="38" t="n"/>
      <c r="F9" s="39" t="n"/>
      <c r="G9" s="37" t="n"/>
      <c r="H9" s="40" t="n"/>
      <c r="I9" s="40" t="n"/>
      <c r="J9" s="40" t="n"/>
      <c r="K9" s="40" t="n"/>
      <c r="L9" s="41" t="n"/>
      <c r="M9" s="37" t="n"/>
    </row>
    <row r="10">
      <c r="A10" s="37" t="n"/>
      <c r="B10" s="37" t="n"/>
      <c r="C10" s="37" t="n"/>
      <c r="D10" s="37" t="n"/>
      <c r="E10" s="38" t="n"/>
      <c r="F10" s="39" t="n"/>
      <c r="G10" s="37" t="n"/>
      <c r="H10" s="40" t="n"/>
      <c r="I10" s="40" t="n"/>
      <c r="J10" s="40" t="n"/>
      <c r="K10" s="40" t="n"/>
      <c r="L10" s="41" t="n"/>
      <c r="M10" s="37" t="n"/>
    </row>
    <row r="11">
      <c r="A11" s="37" t="n"/>
      <c r="B11" s="37" t="n"/>
      <c r="C11" s="37" t="n"/>
      <c r="D11" s="37" t="n"/>
      <c r="E11" s="38" t="n"/>
      <c r="F11" s="39" t="n"/>
      <c r="G11" s="37" t="n"/>
      <c r="H11" s="40" t="n"/>
      <c r="I11" s="40" t="n"/>
      <c r="J11" s="40" t="n"/>
      <c r="K11" s="40" t="n"/>
      <c r="L11" s="41" t="n"/>
      <c r="M11" s="37" t="n"/>
    </row>
    <row r="12">
      <c r="A12" s="37" t="n"/>
      <c r="B12" s="37" t="n"/>
      <c r="C12" s="37" t="n"/>
      <c r="D12" s="37" t="n"/>
      <c r="E12" s="38" t="n"/>
      <c r="F12" s="39" t="n"/>
      <c r="G12" s="37" t="n"/>
      <c r="H12" s="40" t="n"/>
      <c r="I12" s="40" t="n"/>
      <c r="J12" s="40" t="n"/>
      <c r="K12" s="40" t="n"/>
      <c r="L12" s="41" t="n"/>
      <c r="M12" s="37" t="n"/>
    </row>
    <row r="13">
      <c r="A13" s="37" t="n"/>
      <c r="B13" s="37" t="n"/>
      <c r="C13" s="37" t="n"/>
      <c r="D13" s="37" t="n"/>
      <c r="E13" s="38" t="n"/>
      <c r="F13" s="39" t="n"/>
      <c r="G13" s="37" t="n"/>
      <c r="H13" s="40" t="n"/>
      <c r="I13" s="40" t="n"/>
      <c r="J13" s="40" t="n"/>
      <c r="K13" s="40" t="n"/>
      <c r="L13" s="41" t="n"/>
      <c r="M13" s="37" t="n"/>
    </row>
    <row r="14">
      <c r="A14" s="37" t="n"/>
      <c r="B14" s="37" t="n"/>
      <c r="C14" s="37" t="n"/>
      <c r="D14" s="37" t="n"/>
      <c r="E14" s="38" t="n"/>
      <c r="F14" s="39" t="n"/>
      <c r="G14" s="37" t="n"/>
      <c r="H14" s="40" t="n"/>
      <c r="I14" s="40" t="n"/>
      <c r="J14" s="40" t="n"/>
      <c r="K14" s="40" t="n"/>
      <c r="L14" s="41" t="n"/>
      <c r="M14" s="37" t="n"/>
    </row>
    <row r="15">
      <c r="A15" s="37" t="n"/>
      <c r="B15" s="37" t="n"/>
      <c r="C15" s="37" t="n"/>
      <c r="D15" s="37" t="n"/>
      <c r="E15" s="38" t="n"/>
      <c r="F15" s="39" t="n"/>
      <c r="G15" s="37" t="n"/>
      <c r="H15" s="40" t="n"/>
      <c r="I15" s="40" t="n"/>
      <c r="J15" s="40" t="n"/>
      <c r="K15" s="40" t="n"/>
      <c r="L15" s="41" t="n"/>
      <c r="M15" s="37" t="n"/>
    </row>
    <row r="16">
      <c r="A16" s="37" t="n"/>
      <c r="B16" s="37" t="n"/>
      <c r="C16" s="37" t="n"/>
      <c r="D16" s="37" t="n"/>
      <c r="E16" s="38" t="n"/>
      <c r="F16" s="39" t="n"/>
      <c r="G16" s="37" t="n"/>
      <c r="H16" s="40" t="n"/>
      <c r="I16" s="40" t="n"/>
      <c r="J16" s="40" t="n"/>
      <c r="K16" s="40" t="n"/>
      <c r="L16" s="41" t="n"/>
      <c r="M16" s="37" t="n"/>
    </row>
    <row r="17">
      <c r="A17" s="37" t="n"/>
      <c r="B17" s="37" t="n"/>
      <c r="C17" s="37" t="n"/>
      <c r="D17" s="37" t="n"/>
      <c r="E17" s="38" t="n"/>
      <c r="F17" s="39" t="n"/>
      <c r="G17" s="37" t="n"/>
      <c r="H17" s="40" t="n"/>
      <c r="I17" s="40" t="n"/>
      <c r="J17" s="40" t="n"/>
      <c r="K17" s="40" t="n"/>
      <c r="L17" s="41" t="n"/>
      <c r="M17" s="37" t="n"/>
    </row>
    <row r="18">
      <c r="A18" s="37" t="n"/>
      <c r="B18" s="37" t="n"/>
      <c r="C18" s="37" t="n"/>
      <c r="D18" s="37" t="n"/>
      <c r="E18" s="38" t="n"/>
      <c r="F18" s="39" t="n"/>
      <c r="G18" s="37" t="n"/>
      <c r="H18" s="40" t="n"/>
      <c r="I18" s="40" t="n"/>
      <c r="J18" s="40" t="n"/>
      <c r="K18" s="40" t="n"/>
      <c r="L18" s="41" t="n"/>
      <c r="M18" s="37" t="n"/>
    </row>
    <row r="19">
      <c r="A19" s="37" t="n"/>
      <c r="B19" s="37" t="n"/>
      <c r="C19" s="37" t="n"/>
      <c r="D19" s="37" t="n"/>
      <c r="E19" s="38" t="n"/>
      <c r="F19" s="39" t="n"/>
      <c r="G19" s="37" t="n"/>
      <c r="H19" s="40" t="n"/>
      <c r="I19" s="40" t="n"/>
      <c r="J19" s="40" t="n"/>
      <c r="K19" s="40" t="n"/>
      <c r="L19" s="41" t="n"/>
      <c r="M19" s="37" t="n"/>
    </row>
    <row r="20">
      <c r="A20" s="37" t="n"/>
      <c r="B20" s="37" t="n"/>
      <c r="C20" s="37" t="n"/>
      <c r="D20" s="37" t="n"/>
      <c r="E20" s="38" t="n"/>
      <c r="F20" s="39" t="n"/>
      <c r="G20" s="37" t="n"/>
      <c r="H20" s="40" t="n"/>
      <c r="I20" s="40" t="n"/>
      <c r="J20" s="40" t="n"/>
      <c r="K20" s="40" t="n"/>
      <c r="L20" s="41" t="n"/>
      <c r="M20" s="37" t="n"/>
    </row>
    <row r="21">
      <c r="A21" s="37" t="n"/>
      <c r="B21" s="37" t="n"/>
      <c r="C21" s="37" t="n"/>
      <c r="D21" s="37" t="n"/>
      <c r="E21" s="38" t="n"/>
      <c r="F21" s="39" t="n"/>
      <c r="G21" s="37" t="n"/>
      <c r="H21" s="40" t="n"/>
      <c r="I21" s="40" t="n"/>
      <c r="J21" s="40" t="n"/>
      <c r="K21" s="40" t="n"/>
      <c r="L21" s="41" t="n"/>
      <c r="M21" s="37" t="n"/>
    </row>
    <row r="22">
      <c r="A22" s="37" t="n"/>
      <c r="B22" s="37" t="n"/>
      <c r="C22" s="37" t="n"/>
      <c r="D22" s="37" t="n"/>
      <c r="E22" s="38" t="n"/>
      <c r="F22" s="39" t="n"/>
      <c r="G22" s="37" t="n"/>
      <c r="H22" s="40" t="n"/>
      <c r="I22" s="40" t="n"/>
      <c r="J22" s="40" t="n"/>
      <c r="K22" s="40" t="n"/>
      <c r="L22" s="41" t="n"/>
      <c r="M22" s="37" t="n"/>
    </row>
    <row r="23">
      <c r="A23" s="37" t="n"/>
      <c r="B23" s="37" t="n"/>
      <c r="C23" s="37" t="n"/>
      <c r="D23" s="37" t="n"/>
      <c r="E23" s="38" t="n"/>
      <c r="F23" s="39" t="n"/>
      <c r="G23" s="37" t="n"/>
      <c r="H23" s="40" t="n"/>
      <c r="I23" s="40" t="n"/>
      <c r="J23" s="40" t="n"/>
      <c r="K23" s="40" t="n"/>
      <c r="L23" s="41" t="n"/>
      <c r="M23" s="37" t="n"/>
    </row>
    <row r="24">
      <c r="A24" s="37" t="n"/>
      <c r="B24" s="37" t="n"/>
      <c r="C24" s="37" t="n"/>
      <c r="D24" s="37" t="n"/>
      <c r="E24" s="38" t="n"/>
      <c r="F24" s="39" t="n"/>
      <c r="G24" s="37" t="n"/>
      <c r="H24" s="40" t="n"/>
      <c r="I24" s="40" t="n"/>
      <c r="J24" s="40" t="n"/>
      <c r="K24" s="40" t="n"/>
      <c r="L24" s="41" t="n"/>
      <c r="M24" s="37" t="n"/>
    </row>
    <row r="25">
      <c r="A25" s="37" t="n"/>
      <c r="B25" s="37" t="n"/>
      <c r="C25" s="37" t="n"/>
      <c r="D25" s="37" t="n"/>
      <c r="E25" s="38" t="n"/>
      <c r="F25" s="39" t="n"/>
      <c r="G25" s="37" t="n"/>
      <c r="H25" s="40" t="n"/>
      <c r="I25" s="40" t="n"/>
      <c r="J25" s="40" t="n"/>
      <c r="K25" s="40" t="n"/>
      <c r="L25" s="41" t="n"/>
      <c r="M25" s="37" t="n"/>
    </row>
    <row r="26">
      <c r="A26" s="37" t="n"/>
      <c r="B26" s="37" t="n"/>
      <c r="C26" s="37" t="n"/>
      <c r="D26" s="37" t="n"/>
      <c r="E26" s="38" t="n"/>
      <c r="F26" s="39" t="n"/>
      <c r="G26" s="37" t="n"/>
      <c r="H26" s="40" t="n"/>
      <c r="I26" s="40" t="n"/>
      <c r="J26" s="40" t="n"/>
      <c r="K26" s="40" t="n"/>
      <c r="L26" s="41" t="n"/>
      <c r="M26" s="37" t="n"/>
    </row>
    <row r="27">
      <c r="A27" s="37" t="n"/>
      <c r="B27" s="37" t="n"/>
      <c r="C27" s="37" t="n"/>
      <c r="D27" s="37" t="n"/>
      <c r="E27" s="38" t="n"/>
      <c r="F27" s="39" t="n"/>
      <c r="G27" s="37" t="n"/>
      <c r="H27" s="40" t="n"/>
      <c r="I27" s="40" t="n"/>
      <c r="J27" s="40" t="n"/>
      <c r="K27" s="40" t="n"/>
      <c r="L27" s="41" t="n"/>
      <c r="M27" s="37" t="n"/>
    </row>
    <row r="28">
      <c r="A28" s="37" t="n"/>
      <c r="B28" s="37" t="n"/>
      <c r="C28" s="37" t="n"/>
      <c r="D28" s="37" t="n"/>
      <c r="E28" s="38" t="n"/>
      <c r="F28" s="39" t="n"/>
      <c r="G28" s="37" t="n"/>
      <c r="H28" s="40" t="n"/>
      <c r="I28" s="40" t="n"/>
      <c r="J28" s="40" t="n"/>
      <c r="K28" s="40" t="n"/>
      <c r="L28" s="41" t="n"/>
      <c r="M28" s="37" t="n"/>
    </row>
    <row r="29">
      <c r="A29" s="37" t="n"/>
      <c r="B29" s="37" t="n"/>
      <c r="C29" s="37" t="n"/>
      <c r="D29" s="37" t="n"/>
      <c r="E29" s="38" t="n"/>
      <c r="F29" s="39" t="n"/>
      <c r="G29" s="37" t="n"/>
      <c r="H29" s="40" t="n"/>
      <c r="I29" s="40" t="n"/>
      <c r="J29" s="40" t="n"/>
      <c r="K29" s="40" t="n"/>
      <c r="L29" s="41" t="n"/>
      <c r="M29" s="37" t="n"/>
    </row>
    <row r="30">
      <c r="A30" s="37" t="n"/>
      <c r="B30" s="37" t="n"/>
      <c r="C30" s="37" t="n"/>
      <c r="D30" s="37" t="n"/>
      <c r="E30" s="38" t="n"/>
      <c r="F30" s="39" t="n"/>
      <c r="G30" s="37" t="n"/>
      <c r="H30" s="40" t="n"/>
      <c r="I30" s="40" t="n"/>
      <c r="J30" s="40" t="n"/>
      <c r="K30" s="40" t="n"/>
      <c r="L30" s="41" t="n"/>
      <c r="M30" s="37" t="n"/>
    </row>
    <row r="31">
      <c r="A31" s="37" t="n"/>
      <c r="B31" s="37" t="n"/>
      <c r="C31" s="37" t="n"/>
      <c r="D31" s="37" t="n"/>
      <c r="E31" s="38" t="n"/>
      <c r="F31" s="39" t="n"/>
      <c r="G31" s="37" t="n"/>
      <c r="H31" s="40" t="n"/>
      <c r="I31" s="40" t="n"/>
      <c r="J31" s="40" t="n"/>
      <c r="K31" s="40" t="n"/>
      <c r="L31" s="41" t="n"/>
      <c r="M31" s="37" t="n"/>
    </row>
    <row r="32">
      <c r="A32" s="37" t="n"/>
      <c r="B32" s="37" t="n"/>
      <c r="C32" s="37" t="n"/>
      <c r="D32" s="37" t="n"/>
      <c r="E32" s="38" t="n"/>
      <c r="F32" s="39" t="n"/>
      <c r="G32" s="37" t="n"/>
      <c r="H32" s="40" t="n"/>
      <c r="I32" s="40" t="n"/>
      <c r="J32" s="40" t="n"/>
      <c r="K32" s="40" t="n"/>
      <c r="L32" s="41" t="n"/>
      <c r="M32" s="37" t="n"/>
    </row>
    <row r="33">
      <c r="A33" s="37" t="n"/>
      <c r="B33" s="37" t="n"/>
      <c r="C33" s="37" t="n"/>
      <c r="D33" s="37" t="n"/>
      <c r="E33" s="38" t="n"/>
      <c r="F33" s="39" t="n"/>
      <c r="G33" s="37" t="n"/>
      <c r="H33" s="40" t="n"/>
      <c r="I33" s="40" t="n"/>
      <c r="J33" s="40" t="n"/>
      <c r="K33" s="40" t="n"/>
      <c r="L33" s="41" t="n"/>
      <c r="M33" s="37" t="n"/>
    </row>
    <row r="34">
      <c r="A34" s="37" t="n"/>
      <c r="B34" s="37" t="n"/>
      <c r="C34" s="37" t="n"/>
      <c r="D34" s="37" t="n"/>
      <c r="E34" s="38" t="n"/>
      <c r="F34" s="39" t="n"/>
      <c r="G34" s="37" t="n"/>
      <c r="H34" s="40" t="n"/>
      <c r="I34" s="40" t="n"/>
      <c r="J34" s="40" t="n"/>
      <c r="K34" s="40" t="n"/>
      <c r="L34" s="41" t="n"/>
      <c r="M34" s="37" t="n"/>
    </row>
    <row r="35">
      <c r="A35" s="37" t="n"/>
      <c r="B35" s="37" t="n"/>
      <c r="C35" s="37" t="n"/>
      <c r="D35" s="37" t="n"/>
      <c r="E35" s="38" t="n"/>
      <c r="F35" s="39" t="n"/>
      <c r="G35" s="37" t="n"/>
      <c r="H35" s="40" t="n"/>
      <c r="I35" s="40" t="n"/>
      <c r="J35" s="40" t="n"/>
      <c r="K35" s="40" t="n"/>
      <c r="L35" s="41" t="n"/>
      <c r="M35" s="37" t="n"/>
    </row>
    <row r="36">
      <c r="A36" s="37" t="n"/>
      <c r="B36" s="37" t="n"/>
      <c r="C36" s="37" t="n"/>
      <c r="D36" s="37" t="n"/>
      <c r="E36" s="38" t="n"/>
      <c r="F36" s="39" t="n"/>
      <c r="G36" s="37" t="n"/>
      <c r="H36" s="40" t="n"/>
      <c r="I36" s="40" t="n"/>
      <c r="J36" s="40" t="n"/>
      <c r="K36" s="40" t="n"/>
      <c r="L36" s="41" t="n"/>
      <c r="M36" s="37" t="n"/>
    </row>
    <row r="37">
      <c r="A37" s="37" t="n"/>
      <c r="B37" s="37" t="n"/>
      <c r="C37" s="37" t="n"/>
      <c r="D37" s="37" t="n"/>
      <c r="E37" s="38" t="n"/>
      <c r="F37" s="39" t="n"/>
      <c r="G37" s="37" t="n"/>
      <c r="H37" s="40" t="n"/>
      <c r="I37" s="40" t="n"/>
      <c r="J37" s="40" t="n"/>
      <c r="K37" s="40" t="n"/>
      <c r="L37" s="41" t="n"/>
      <c r="M37" s="37" t="n"/>
    </row>
    <row r="38">
      <c r="A38" s="37" t="n"/>
      <c r="B38" s="37" t="n"/>
      <c r="C38" s="37" t="n"/>
      <c r="D38" s="37" t="n"/>
      <c r="E38" s="38" t="n"/>
      <c r="F38" s="39" t="n"/>
      <c r="G38" s="37" t="n"/>
      <c r="H38" s="40" t="n"/>
      <c r="I38" s="40" t="n"/>
      <c r="J38" s="40" t="n"/>
      <c r="K38" s="40" t="n"/>
      <c r="L38" s="41" t="n"/>
      <c r="M38" s="37" t="n"/>
    </row>
    <row r="39">
      <c r="A39" s="37" t="n"/>
      <c r="B39" s="37" t="n"/>
      <c r="C39" s="37" t="n"/>
      <c r="D39" s="37" t="n"/>
      <c r="E39" s="38" t="n"/>
      <c r="F39" s="39" t="n"/>
      <c r="G39" s="37" t="n"/>
      <c r="H39" s="40" t="n"/>
      <c r="I39" s="40" t="n"/>
      <c r="J39" s="40" t="n"/>
      <c r="K39" s="40" t="n"/>
      <c r="L39" s="41" t="n"/>
      <c r="M39" s="37" t="n"/>
    </row>
    <row r="40">
      <c r="A40" s="37" t="n"/>
      <c r="B40" s="37" t="n"/>
      <c r="C40" s="37" t="n"/>
      <c r="D40" s="37" t="n"/>
      <c r="E40" s="38" t="n"/>
      <c r="F40" s="39" t="n"/>
      <c r="G40" s="37" t="n"/>
      <c r="H40" s="40" t="n"/>
      <c r="I40" s="40" t="n"/>
      <c r="J40" s="40" t="n"/>
      <c r="K40" s="40" t="n"/>
      <c r="L40" s="41" t="n"/>
      <c r="M40" s="37" t="n"/>
    </row>
    <row r="41">
      <c r="A41" s="37" t="n"/>
      <c r="B41" s="37" t="n"/>
      <c r="C41" s="37" t="n"/>
      <c r="D41" s="37" t="n"/>
      <c r="E41" s="38" t="n"/>
      <c r="F41" s="39" t="n"/>
      <c r="G41" s="37" t="n"/>
      <c r="H41" s="40" t="n"/>
      <c r="I41" s="40" t="n"/>
      <c r="J41" s="40" t="n"/>
      <c r="K41" s="40" t="n"/>
      <c r="L41" s="41" t="n"/>
      <c r="M41" s="37" t="n"/>
    </row>
    <row r="42">
      <c r="A42" s="37" t="n"/>
      <c r="B42" s="37" t="n"/>
      <c r="C42" s="37" t="n"/>
      <c r="D42" s="37" t="n"/>
      <c r="E42" s="38" t="n"/>
      <c r="F42" s="39" t="n"/>
      <c r="G42" s="37" t="n"/>
      <c r="H42" s="40" t="n"/>
      <c r="I42" s="40" t="n"/>
      <c r="J42" s="40" t="n"/>
      <c r="K42" s="40" t="n"/>
      <c r="L42" s="41" t="n"/>
      <c r="M42" s="37" t="n"/>
    </row>
    <row r="43">
      <c r="A43" s="37" t="n"/>
      <c r="B43" s="37" t="n"/>
      <c r="C43" s="37" t="n"/>
      <c r="D43" s="37" t="n"/>
      <c r="E43" s="38" t="n"/>
      <c r="F43" s="39" t="n"/>
      <c r="G43" s="37" t="n"/>
      <c r="H43" s="40" t="n"/>
      <c r="I43" s="40" t="n"/>
      <c r="J43" s="40" t="n"/>
      <c r="K43" s="40" t="n"/>
      <c r="L43" s="41" t="n"/>
      <c r="M43" s="37" t="n"/>
    </row>
    <row r="44">
      <c r="A44" s="37" t="n"/>
      <c r="B44" s="37" t="n"/>
      <c r="C44" s="37" t="n"/>
      <c r="D44" s="37" t="n"/>
      <c r="E44" s="38" t="n"/>
      <c r="F44" s="39" t="n"/>
      <c r="G44" s="37" t="n"/>
      <c r="H44" s="40" t="n"/>
      <c r="I44" s="40" t="n"/>
      <c r="J44" s="40" t="n"/>
      <c r="K44" s="40" t="n"/>
      <c r="L44" s="41" t="n"/>
      <c r="M44" s="37" t="n"/>
    </row>
    <row r="45">
      <c r="A45" s="37" t="n"/>
      <c r="B45" s="37" t="n"/>
      <c r="C45" s="37" t="n"/>
      <c r="D45" s="37" t="n"/>
      <c r="E45" s="38" t="n"/>
      <c r="F45" s="39" t="n"/>
      <c r="G45" s="37" t="n"/>
      <c r="H45" s="40" t="n"/>
      <c r="I45" s="40" t="n"/>
      <c r="J45" s="40" t="n"/>
      <c r="K45" s="40" t="n"/>
      <c r="L45" s="41" t="n"/>
      <c r="M45" s="37" t="n"/>
    </row>
    <row r="46">
      <c r="A46" s="37" t="n"/>
      <c r="B46" s="37" t="n"/>
      <c r="C46" s="37" t="n"/>
      <c r="D46" s="37" t="n"/>
      <c r="E46" s="38" t="n"/>
      <c r="F46" s="39" t="n"/>
      <c r="G46" s="37" t="n"/>
      <c r="H46" s="40" t="n"/>
      <c r="I46" s="40" t="n"/>
      <c r="J46" s="40" t="n"/>
      <c r="K46" s="40" t="n"/>
      <c r="L46" s="41" t="n"/>
      <c r="M46" s="37" t="n"/>
    </row>
    <row r="47">
      <c r="A47" s="37" t="n"/>
      <c r="B47" s="37" t="n"/>
      <c r="C47" s="37" t="n"/>
      <c r="D47" s="37" t="n"/>
      <c r="E47" s="38" t="n"/>
      <c r="F47" s="39" t="n"/>
      <c r="G47" s="37" t="n"/>
      <c r="H47" s="40" t="n"/>
      <c r="I47" s="40" t="n"/>
      <c r="J47" s="40" t="n"/>
      <c r="K47" s="40" t="n"/>
      <c r="L47" s="41" t="n"/>
      <c r="M47" s="37" t="n"/>
    </row>
    <row r="48">
      <c r="A48" s="37" t="n"/>
      <c r="B48" s="37" t="n"/>
      <c r="C48" s="37" t="n"/>
      <c r="D48" s="37" t="n"/>
      <c r="E48" s="38" t="n"/>
      <c r="F48" s="39" t="n"/>
      <c r="G48" s="37" t="n"/>
      <c r="H48" s="40" t="n"/>
      <c r="I48" s="40" t="n"/>
      <c r="J48" s="40" t="n"/>
      <c r="K48" s="40" t="n"/>
      <c r="L48" s="41" t="n"/>
      <c r="M48" s="37" t="n"/>
    </row>
    <row r="49">
      <c r="A49" s="37" t="n"/>
      <c r="B49" s="37" t="n"/>
      <c r="C49" s="37" t="n"/>
      <c r="D49" s="37" t="n"/>
      <c r="E49" s="38" t="n"/>
      <c r="F49" s="39" t="n"/>
      <c r="G49" s="37" t="n"/>
      <c r="H49" s="40" t="n"/>
      <c r="I49" s="40" t="n"/>
      <c r="J49" s="40" t="n"/>
      <c r="K49" s="40" t="n"/>
      <c r="L49" s="41" t="n"/>
      <c r="M49" s="37" t="n"/>
    </row>
    <row r="50">
      <c r="A50" s="37" t="n"/>
      <c r="B50" s="37" t="n"/>
      <c r="C50" s="37" t="n"/>
      <c r="D50" s="37" t="n"/>
      <c r="E50" s="38" t="n"/>
      <c r="F50" s="39" t="n"/>
      <c r="G50" s="37" t="n"/>
      <c r="H50" s="40" t="n"/>
      <c r="I50" s="40" t="n"/>
      <c r="J50" s="40" t="n"/>
      <c r="K50" s="40" t="n"/>
      <c r="L50" s="41" t="n"/>
      <c r="M50" s="37" t="n"/>
    </row>
    <row r="51">
      <c r="A51" s="37" t="n"/>
      <c r="B51" s="37" t="n"/>
      <c r="C51" s="37" t="n"/>
      <c r="D51" s="37" t="n"/>
      <c r="E51" s="38" t="n"/>
      <c r="F51" s="39" t="n"/>
      <c r="G51" s="37" t="n"/>
      <c r="H51" s="40" t="n"/>
      <c r="I51" s="40" t="n"/>
      <c r="J51" s="40" t="n"/>
      <c r="K51" s="40" t="n"/>
      <c r="L51" s="41" t="n"/>
      <c r="M51" s="37" t="n"/>
    </row>
    <row r="52">
      <c r="A52" s="37" t="n"/>
      <c r="B52" s="37" t="n"/>
      <c r="C52" s="37" t="n"/>
      <c r="D52" s="37" t="n"/>
      <c r="E52" s="38" t="n"/>
      <c r="F52" s="39" t="n"/>
      <c r="G52" s="37" t="n"/>
      <c r="H52" s="40" t="n"/>
      <c r="I52" s="40" t="n"/>
      <c r="J52" s="40" t="n"/>
      <c r="K52" s="40" t="n"/>
      <c r="L52" s="41" t="n"/>
      <c r="M52" s="37" t="n"/>
    </row>
    <row r="53">
      <c r="A53" s="37" t="n"/>
      <c r="B53" s="37" t="n"/>
      <c r="C53" s="37" t="n"/>
      <c r="D53" s="37" t="n"/>
      <c r="E53" s="38" t="n"/>
      <c r="F53" s="39" t="n"/>
      <c r="G53" s="37" t="n"/>
      <c r="H53" s="40" t="n"/>
      <c r="I53" s="40" t="n"/>
      <c r="J53" s="40" t="n"/>
      <c r="K53" s="40" t="n"/>
      <c r="L53" s="41" t="n"/>
      <c r="M53" s="37" t="n"/>
    </row>
    <row r="54">
      <c r="A54" s="37" t="n"/>
      <c r="B54" s="37" t="n"/>
      <c r="C54" s="37" t="n"/>
      <c r="D54" s="37" t="n"/>
      <c r="E54" s="38" t="n"/>
      <c r="F54" s="39" t="n"/>
      <c r="G54" s="37" t="n"/>
      <c r="H54" s="40" t="n"/>
      <c r="I54" s="40" t="n"/>
      <c r="J54" s="40" t="n"/>
      <c r="K54" s="40" t="n"/>
      <c r="L54" s="41" t="n"/>
      <c r="M54" s="37" t="n"/>
    </row>
    <row r="55">
      <c r="A55" s="37" t="n"/>
      <c r="B55" s="37" t="n"/>
      <c r="C55" s="37" t="n"/>
      <c r="D55" s="37" t="n"/>
      <c r="E55" s="38" t="n"/>
      <c r="F55" s="39" t="n"/>
      <c r="G55" s="37" t="n"/>
      <c r="H55" s="40" t="n"/>
      <c r="I55" s="40" t="n"/>
      <c r="J55" s="40" t="n"/>
      <c r="K55" s="40" t="n"/>
      <c r="L55" s="41" t="n"/>
      <c r="M55" s="37" t="n"/>
    </row>
    <row r="56">
      <c r="A56" s="37" t="n"/>
      <c r="B56" s="37" t="n"/>
      <c r="C56" s="37" t="n"/>
      <c r="D56" s="37" t="n"/>
      <c r="E56" s="38" t="n"/>
      <c r="F56" s="39" t="n"/>
      <c r="G56" s="37" t="n"/>
      <c r="H56" s="40" t="n"/>
      <c r="I56" s="40" t="n"/>
      <c r="J56" s="40" t="n"/>
      <c r="K56" s="40" t="n"/>
      <c r="L56" s="41" t="n"/>
      <c r="M56" s="37" t="n"/>
    </row>
    <row r="57">
      <c r="A57" s="37" t="n"/>
      <c r="B57" s="37" t="n"/>
      <c r="C57" s="37" t="n"/>
      <c r="D57" s="37" t="n"/>
      <c r="E57" s="38" t="n"/>
      <c r="F57" s="39" t="n"/>
      <c r="G57" s="37" t="n"/>
      <c r="H57" s="40" t="n"/>
      <c r="I57" s="40" t="n"/>
      <c r="J57" s="40" t="n"/>
      <c r="K57" s="40" t="n"/>
      <c r="L57" s="41" t="n"/>
      <c r="M57" s="37" t="n"/>
    </row>
    <row r="58">
      <c r="A58" s="37" t="n"/>
      <c r="B58" s="37" t="n"/>
      <c r="C58" s="37" t="n"/>
      <c r="D58" s="37" t="n"/>
      <c r="E58" s="38" t="n"/>
      <c r="F58" s="39" t="n"/>
      <c r="G58" s="37" t="n"/>
      <c r="H58" s="40" t="n"/>
      <c r="I58" s="40" t="n"/>
      <c r="J58" s="40" t="n"/>
      <c r="K58" s="40" t="n"/>
      <c r="L58" s="41" t="n"/>
      <c r="M58" s="37" t="n"/>
    </row>
    <row r="59">
      <c r="A59" s="37" t="n"/>
      <c r="B59" s="37" t="n"/>
      <c r="C59" s="37" t="n"/>
      <c r="D59" s="37" t="n"/>
      <c r="E59" s="38" t="n"/>
      <c r="F59" s="39" t="n"/>
      <c r="G59" s="37" t="n"/>
      <c r="H59" s="40" t="n"/>
      <c r="I59" s="40" t="n"/>
      <c r="J59" s="40" t="n"/>
      <c r="K59" s="40" t="n"/>
      <c r="L59" s="41" t="n"/>
      <c r="M59" s="37" t="n"/>
    </row>
    <row r="60">
      <c r="A60" s="37" t="n"/>
      <c r="B60" s="37" t="n"/>
      <c r="C60" s="37" t="n"/>
      <c r="D60" s="37" t="n"/>
      <c r="E60" s="38" t="n"/>
      <c r="F60" s="39" t="n"/>
      <c r="G60" s="37" t="n"/>
      <c r="H60" s="40" t="n"/>
      <c r="I60" s="40" t="n"/>
      <c r="J60" s="40" t="n"/>
      <c r="K60" s="40" t="n"/>
      <c r="L60" s="41" t="n"/>
      <c r="M60" s="37" t="n"/>
    </row>
    <row r="61">
      <c r="A61" s="37" t="n"/>
      <c r="B61" s="37" t="n"/>
      <c r="C61" s="37" t="n"/>
      <c r="D61" s="37" t="n"/>
      <c r="E61" s="38" t="n"/>
      <c r="F61" s="39" t="n"/>
      <c r="G61" s="37" t="n"/>
      <c r="H61" s="40" t="n"/>
      <c r="I61" s="40" t="n"/>
      <c r="J61" s="40" t="n"/>
      <c r="K61" s="40" t="n"/>
      <c r="L61" s="41" t="n"/>
      <c r="M61" s="37" t="n"/>
    </row>
    <row r="62">
      <c r="A62" s="37" t="n"/>
      <c r="B62" s="37" t="n"/>
      <c r="C62" s="37" t="n"/>
      <c r="D62" s="37" t="n"/>
      <c r="E62" s="38" t="n"/>
      <c r="F62" s="39" t="n"/>
      <c r="G62" s="37" t="n"/>
      <c r="H62" s="40" t="n"/>
      <c r="I62" s="40" t="n"/>
      <c r="J62" s="40" t="n"/>
      <c r="K62" s="40" t="n"/>
      <c r="L62" s="41" t="n"/>
      <c r="M62" s="37" t="n"/>
    </row>
    <row r="63">
      <c r="A63" s="37" t="n"/>
      <c r="B63" s="37" t="n"/>
      <c r="C63" s="37" t="n"/>
      <c r="D63" s="37" t="n"/>
      <c r="E63" s="38" t="n"/>
      <c r="F63" s="39" t="n"/>
      <c r="G63" s="37" t="n"/>
      <c r="H63" s="40" t="n"/>
      <c r="I63" s="40" t="n"/>
      <c r="J63" s="40" t="n"/>
      <c r="K63" s="40" t="n"/>
      <c r="L63" s="41" t="n"/>
      <c r="M63" s="37" t="n"/>
    </row>
    <row r="64">
      <c r="A64" s="37" t="n"/>
      <c r="B64" s="37" t="n"/>
      <c r="C64" s="37" t="n"/>
      <c r="D64" s="37" t="n"/>
      <c r="E64" s="38" t="n"/>
      <c r="F64" s="39" t="n"/>
      <c r="G64" s="37" t="n"/>
      <c r="H64" s="40" t="n"/>
      <c r="I64" s="40" t="n"/>
      <c r="J64" s="40" t="n"/>
      <c r="K64" s="40" t="n"/>
      <c r="L64" s="41" t="n"/>
      <c r="M64" s="37" t="n"/>
    </row>
    <row r="65">
      <c r="A65" s="37" t="n"/>
      <c r="B65" s="37" t="n"/>
      <c r="C65" s="37" t="n"/>
      <c r="D65" s="37" t="n"/>
      <c r="E65" s="38" t="n"/>
      <c r="F65" s="39" t="n"/>
      <c r="G65" s="37" t="n"/>
      <c r="H65" s="40" t="n"/>
      <c r="I65" s="40" t="n"/>
      <c r="J65" s="40" t="n"/>
      <c r="K65" s="40" t="n"/>
      <c r="L65" s="41" t="n"/>
      <c r="M65" s="37" t="n"/>
    </row>
    <row r="66">
      <c r="A66" s="37" t="n"/>
      <c r="B66" s="37" t="n"/>
      <c r="C66" s="37" t="n"/>
      <c r="D66" s="37" t="n"/>
      <c r="E66" s="38" t="n"/>
      <c r="F66" s="39" t="n"/>
      <c r="G66" s="37" t="n"/>
      <c r="H66" s="40" t="n"/>
      <c r="I66" s="40" t="n"/>
      <c r="J66" s="40" t="n"/>
      <c r="K66" s="40" t="n"/>
      <c r="L66" s="41" t="n"/>
      <c r="M66" s="37" t="n"/>
    </row>
    <row r="67">
      <c r="A67" s="37" t="n"/>
      <c r="B67" s="37" t="n"/>
      <c r="C67" s="37" t="n"/>
      <c r="D67" s="37" t="n"/>
      <c r="E67" s="38" t="n"/>
      <c r="F67" s="39" t="n"/>
      <c r="G67" s="37" t="n"/>
      <c r="H67" s="40" t="n"/>
      <c r="I67" s="40" t="n"/>
      <c r="J67" s="40" t="n"/>
      <c r="K67" s="40" t="n"/>
      <c r="L67" s="41" t="n"/>
      <c r="M67" s="37" t="n"/>
    </row>
    <row r="68">
      <c r="A68" s="37" t="n"/>
      <c r="B68" s="37" t="n"/>
      <c r="C68" s="37" t="n"/>
      <c r="D68" s="37" t="n"/>
      <c r="E68" s="38" t="n"/>
      <c r="F68" s="39" t="n"/>
      <c r="G68" s="37" t="n"/>
      <c r="H68" s="40" t="n"/>
      <c r="I68" s="40" t="n"/>
      <c r="J68" s="40" t="n"/>
      <c r="K68" s="40" t="n"/>
      <c r="L68" s="41" t="n"/>
      <c r="M68" s="37" t="n"/>
    </row>
    <row r="69">
      <c r="A69" s="37" t="n"/>
      <c r="B69" s="37" t="n"/>
      <c r="C69" s="37" t="n"/>
      <c r="D69" s="37" t="n"/>
      <c r="E69" s="38" t="n"/>
      <c r="F69" s="39" t="n"/>
      <c r="G69" s="37" t="n"/>
      <c r="H69" s="40" t="n"/>
      <c r="I69" s="40" t="n"/>
      <c r="J69" s="40" t="n"/>
      <c r="K69" s="40" t="n"/>
      <c r="L69" s="41" t="n"/>
      <c r="M69" s="37" t="n"/>
    </row>
    <row r="70">
      <c r="A70" s="37" t="n"/>
      <c r="B70" s="37" t="n"/>
      <c r="C70" s="37" t="n"/>
      <c r="D70" s="37" t="n"/>
      <c r="E70" s="38" t="n"/>
      <c r="F70" s="39" t="n"/>
      <c r="G70" s="37" t="n"/>
      <c r="H70" s="40" t="n"/>
      <c r="I70" s="40" t="n"/>
      <c r="J70" s="40" t="n"/>
      <c r="K70" s="40" t="n"/>
      <c r="L70" s="41" t="n"/>
      <c r="M70" s="37" t="n"/>
    </row>
    <row r="71">
      <c r="A71" s="37" t="n"/>
      <c r="B71" s="37" t="n"/>
      <c r="C71" s="37" t="n"/>
      <c r="D71" s="37" t="n"/>
      <c r="E71" s="38" t="n"/>
      <c r="F71" s="39" t="n"/>
      <c r="G71" s="37" t="n"/>
      <c r="H71" s="40" t="n"/>
      <c r="I71" s="40" t="n"/>
      <c r="J71" s="40" t="n"/>
      <c r="K71" s="40" t="n"/>
      <c r="L71" s="41" t="n"/>
      <c r="M71" s="37" t="n"/>
    </row>
    <row r="72">
      <c r="A72" s="37" t="n"/>
      <c r="B72" s="37" t="n"/>
      <c r="C72" s="37" t="n"/>
      <c r="D72" s="37" t="n"/>
      <c r="E72" s="38" t="n"/>
      <c r="F72" s="39" t="n"/>
      <c r="G72" s="37" t="n"/>
      <c r="H72" s="40" t="n"/>
      <c r="I72" s="40" t="n"/>
      <c r="J72" s="40" t="n"/>
      <c r="K72" s="40" t="n"/>
      <c r="L72" s="41" t="n"/>
      <c r="M72" s="37" t="n"/>
    </row>
    <row r="73">
      <c r="A73" s="37" t="n"/>
      <c r="B73" s="37" t="n"/>
      <c r="C73" s="37" t="n"/>
      <c r="D73" s="37" t="n"/>
      <c r="E73" s="38" t="n"/>
      <c r="F73" s="39" t="n"/>
      <c r="G73" s="37" t="n"/>
      <c r="H73" s="40" t="n"/>
      <c r="I73" s="40" t="n"/>
      <c r="J73" s="40" t="n"/>
      <c r="K73" s="40" t="n"/>
      <c r="L73" s="41" t="n"/>
      <c r="M73" s="37" t="n"/>
    </row>
    <row r="74">
      <c r="A74" s="37" t="n"/>
      <c r="B74" s="37" t="n"/>
      <c r="C74" s="37" t="n"/>
      <c r="D74" s="37" t="n"/>
      <c r="E74" s="38" t="n"/>
      <c r="F74" s="39" t="n"/>
      <c r="G74" s="37" t="n"/>
      <c r="H74" s="40" t="n"/>
      <c r="I74" s="40" t="n"/>
      <c r="J74" s="40" t="n"/>
      <c r="K74" s="40" t="n"/>
      <c r="L74" s="41" t="n"/>
      <c r="M74" s="37" t="n"/>
    </row>
    <row r="75">
      <c r="A75" s="37" t="n"/>
      <c r="B75" s="37" t="n"/>
      <c r="C75" s="37" t="n"/>
      <c r="D75" s="37" t="n"/>
      <c r="E75" s="38" t="n"/>
      <c r="F75" s="39" t="n"/>
      <c r="G75" s="37" t="n"/>
      <c r="H75" s="40" t="n"/>
      <c r="I75" s="40" t="n"/>
      <c r="J75" s="40" t="n"/>
      <c r="K75" s="40" t="n"/>
      <c r="L75" s="41" t="n"/>
      <c r="M75" s="37" t="n"/>
    </row>
    <row r="76">
      <c r="A76" s="37" t="n"/>
      <c r="B76" s="37" t="n"/>
      <c r="C76" s="37" t="n"/>
      <c r="D76" s="37" t="n"/>
      <c r="E76" s="38" t="n"/>
      <c r="F76" s="39" t="n"/>
      <c r="G76" s="37" t="n"/>
      <c r="H76" s="40" t="n"/>
      <c r="I76" s="40" t="n"/>
      <c r="J76" s="40" t="n"/>
      <c r="K76" s="40" t="n"/>
      <c r="L76" s="41" t="n"/>
      <c r="M76" s="37" t="n"/>
    </row>
    <row r="77">
      <c r="A77" s="37" t="n"/>
      <c r="B77" s="37" t="n"/>
      <c r="C77" s="37" t="n"/>
      <c r="D77" s="37" t="n"/>
      <c r="E77" s="38" t="n"/>
      <c r="F77" s="39" t="n"/>
      <c r="G77" s="37" t="n"/>
      <c r="H77" s="40" t="n"/>
      <c r="I77" s="40" t="n"/>
      <c r="J77" s="40" t="n"/>
      <c r="K77" s="40" t="n"/>
      <c r="L77" s="41" t="n"/>
      <c r="M77" s="37" t="n"/>
    </row>
    <row r="78">
      <c r="A78" s="37" t="n"/>
      <c r="B78" s="37" t="n"/>
      <c r="C78" s="37" t="n"/>
      <c r="D78" s="37" t="n"/>
      <c r="E78" s="38" t="n"/>
      <c r="F78" s="39" t="n"/>
      <c r="G78" s="37" t="n"/>
      <c r="H78" s="40" t="n"/>
      <c r="I78" s="40" t="n"/>
      <c r="J78" s="40" t="n"/>
      <c r="K78" s="40" t="n"/>
      <c r="L78" s="41" t="n"/>
      <c r="M78" s="37" t="n"/>
    </row>
    <row r="79">
      <c r="A79" s="37" t="n"/>
      <c r="B79" s="37" t="n"/>
      <c r="C79" s="37" t="n"/>
      <c r="D79" s="37" t="n"/>
      <c r="E79" s="38" t="n"/>
      <c r="F79" s="39" t="n"/>
      <c r="G79" s="37" t="n"/>
      <c r="H79" s="40" t="n"/>
      <c r="I79" s="40" t="n"/>
      <c r="J79" s="40" t="n"/>
      <c r="K79" s="40" t="n"/>
      <c r="L79" s="41" t="n"/>
      <c r="M79" s="37" t="n"/>
    </row>
    <row r="80">
      <c r="A80" s="37" t="n"/>
      <c r="B80" s="37" t="n"/>
      <c r="C80" s="37" t="n"/>
      <c r="D80" s="37" t="n"/>
      <c r="E80" s="38" t="n"/>
      <c r="F80" s="39" t="n"/>
      <c r="G80" s="37" t="n"/>
      <c r="H80" s="40" t="n"/>
      <c r="I80" s="40" t="n"/>
      <c r="J80" s="40" t="n"/>
      <c r="K80" s="40" t="n"/>
      <c r="L80" s="41" t="n"/>
      <c r="M80" s="37" t="n"/>
    </row>
    <row r="81">
      <c r="A81" s="37" t="n"/>
      <c r="B81" s="37" t="n"/>
      <c r="C81" s="37" t="n"/>
      <c r="D81" s="37" t="n"/>
      <c r="E81" s="38" t="n"/>
      <c r="F81" s="39" t="n"/>
      <c r="G81" s="37" t="n"/>
      <c r="H81" s="40" t="n"/>
      <c r="I81" s="40" t="n"/>
      <c r="J81" s="40" t="n"/>
      <c r="K81" s="40" t="n"/>
      <c r="L81" s="41" t="n"/>
      <c r="M81" s="37" t="n"/>
    </row>
    <row r="82">
      <c r="A82" s="37" t="n"/>
      <c r="B82" s="37" t="n"/>
      <c r="C82" s="37" t="n"/>
      <c r="D82" s="37" t="n"/>
      <c r="E82" s="38" t="n"/>
      <c r="F82" s="39" t="n"/>
      <c r="G82" s="37" t="n"/>
      <c r="H82" s="40" t="n"/>
      <c r="I82" s="40" t="n"/>
      <c r="J82" s="40" t="n"/>
      <c r="K82" s="40" t="n"/>
      <c r="L82" s="41" t="n"/>
      <c r="M82" s="37" t="n"/>
    </row>
    <row r="83">
      <c r="A83" s="37" t="n"/>
      <c r="B83" s="37" t="n"/>
      <c r="C83" s="37" t="n"/>
      <c r="D83" s="37" t="n"/>
      <c r="E83" s="38" t="n"/>
      <c r="F83" s="39" t="n"/>
      <c r="G83" s="37" t="n"/>
      <c r="H83" s="40" t="n"/>
      <c r="I83" s="40" t="n"/>
      <c r="J83" s="40" t="n"/>
      <c r="K83" s="40" t="n"/>
      <c r="L83" s="41" t="n"/>
      <c r="M83" s="37" t="n"/>
    </row>
    <row r="84">
      <c r="A84" s="37" t="n"/>
      <c r="B84" s="37" t="n"/>
      <c r="C84" s="37" t="n"/>
      <c r="D84" s="37" t="n"/>
      <c r="E84" s="38" t="n"/>
      <c r="F84" s="39" t="n"/>
      <c r="G84" s="37" t="n"/>
      <c r="H84" s="40" t="n"/>
      <c r="I84" s="40" t="n"/>
      <c r="J84" s="40" t="n"/>
      <c r="K84" s="40" t="n"/>
      <c r="L84" s="41" t="n"/>
      <c r="M84" s="37" t="n"/>
    </row>
    <row r="85">
      <c r="A85" s="37" t="n"/>
      <c r="B85" s="37" t="n"/>
      <c r="C85" s="37" t="n"/>
      <c r="D85" s="37" t="n"/>
      <c r="E85" s="38" t="n"/>
      <c r="F85" s="39" t="n"/>
      <c r="G85" s="37" t="n"/>
      <c r="H85" s="40" t="n"/>
      <c r="I85" s="40" t="n"/>
      <c r="J85" s="40" t="n"/>
      <c r="K85" s="40" t="n"/>
      <c r="L85" s="41" t="n"/>
      <c r="M85" s="37" t="n"/>
    </row>
    <row r="86">
      <c r="A86" s="37" t="n"/>
      <c r="B86" s="37" t="n"/>
      <c r="C86" s="37" t="n"/>
      <c r="D86" s="37" t="n"/>
      <c r="E86" s="38" t="n"/>
      <c r="F86" s="39" t="n"/>
      <c r="G86" s="37" t="n"/>
      <c r="H86" s="40" t="n"/>
      <c r="I86" s="40" t="n"/>
      <c r="J86" s="40" t="n"/>
      <c r="K86" s="40" t="n"/>
      <c r="L86" s="41" t="n"/>
      <c r="M86" s="37" t="n"/>
    </row>
    <row r="87">
      <c r="A87" s="37" t="n"/>
      <c r="B87" s="37" t="n"/>
      <c r="C87" s="37" t="n"/>
      <c r="D87" s="37" t="n"/>
      <c r="E87" s="38" t="n"/>
      <c r="F87" s="39" t="n"/>
      <c r="G87" s="37" t="n"/>
      <c r="H87" s="40" t="n"/>
      <c r="I87" s="40" t="n"/>
      <c r="J87" s="40" t="n"/>
      <c r="K87" s="40" t="n"/>
      <c r="L87" s="41" t="n"/>
      <c r="M87" s="37" t="n"/>
    </row>
    <row r="88">
      <c r="A88" s="37" t="n"/>
      <c r="B88" s="37" t="n"/>
      <c r="C88" s="37" t="n"/>
      <c r="D88" s="37" t="n"/>
      <c r="E88" s="38" t="n"/>
      <c r="F88" s="39" t="n"/>
      <c r="G88" s="37" t="n"/>
      <c r="H88" s="40" t="n"/>
      <c r="I88" s="40" t="n"/>
      <c r="J88" s="40" t="n"/>
      <c r="K88" s="40" t="n"/>
      <c r="L88" s="41" t="n"/>
      <c r="M88" s="37" t="n"/>
    </row>
    <row r="89">
      <c r="A89" s="37" t="n"/>
      <c r="B89" s="37" t="n"/>
      <c r="C89" s="37" t="n"/>
      <c r="D89" s="37" t="n"/>
      <c r="E89" s="38" t="n"/>
      <c r="F89" s="39" t="n"/>
      <c r="G89" s="37" t="n"/>
      <c r="H89" s="40" t="n"/>
      <c r="I89" s="40" t="n"/>
      <c r="J89" s="40" t="n"/>
      <c r="K89" s="40" t="n"/>
      <c r="L89" s="41" t="n"/>
      <c r="M89" s="37" t="n"/>
    </row>
    <row r="90">
      <c r="A90" s="37" t="n"/>
      <c r="B90" s="37" t="n"/>
      <c r="C90" s="37" t="n"/>
      <c r="D90" s="37" t="n"/>
      <c r="E90" s="38" t="n"/>
      <c r="F90" s="39" t="n"/>
      <c r="G90" s="37" t="n"/>
      <c r="H90" s="40" t="n"/>
      <c r="I90" s="40" t="n"/>
      <c r="J90" s="40" t="n"/>
      <c r="K90" s="40" t="n"/>
      <c r="L90" s="41" t="n"/>
      <c r="M90" s="37" t="n"/>
    </row>
    <row r="91">
      <c r="A91" s="37" t="n"/>
      <c r="B91" s="37" t="n"/>
      <c r="C91" s="37" t="n"/>
      <c r="D91" s="37" t="n"/>
      <c r="E91" s="38" t="n"/>
      <c r="F91" s="39" t="n"/>
      <c r="G91" s="37" t="n"/>
      <c r="H91" s="40" t="n"/>
      <c r="I91" s="40" t="n"/>
      <c r="J91" s="40" t="n"/>
      <c r="K91" s="40" t="n"/>
      <c r="L91" s="41" t="n"/>
      <c r="M91" s="37" t="n"/>
    </row>
    <row r="92">
      <c r="A92" s="37" t="n"/>
      <c r="B92" s="37" t="n"/>
      <c r="C92" s="37" t="n"/>
      <c r="D92" s="37" t="n"/>
      <c r="E92" s="38" t="n"/>
      <c r="F92" s="39" t="n"/>
      <c r="G92" s="37" t="n"/>
      <c r="H92" s="40" t="n"/>
      <c r="I92" s="40" t="n"/>
      <c r="J92" s="40" t="n"/>
      <c r="K92" s="40" t="n"/>
      <c r="L92" s="41" t="n"/>
      <c r="M92" s="37" t="n"/>
    </row>
    <row r="93">
      <c r="A93" s="37" t="n"/>
      <c r="B93" s="37" t="n"/>
      <c r="C93" s="37" t="n"/>
      <c r="D93" s="37" t="n"/>
      <c r="E93" s="38" t="n"/>
      <c r="F93" s="39" t="n"/>
      <c r="G93" s="37" t="n"/>
      <c r="H93" s="40" t="n"/>
      <c r="I93" s="40" t="n"/>
      <c r="J93" s="40" t="n"/>
      <c r="K93" s="40" t="n"/>
      <c r="L93" s="41" t="n"/>
      <c r="M93" s="37" t="n"/>
    </row>
    <row r="94">
      <c r="A94" s="37" t="n"/>
      <c r="B94" s="37" t="n"/>
      <c r="C94" s="37" t="n"/>
      <c r="D94" s="37" t="n"/>
      <c r="E94" s="38" t="n"/>
      <c r="F94" s="39" t="n"/>
      <c r="G94" s="37" t="n"/>
      <c r="H94" s="40" t="n"/>
      <c r="I94" s="40" t="n"/>
      <c r="J94" s="40" t="n"/>
      <c r="K94" s="40" t="n"/>
      <c r="L94" s="41" t="n"/>
      <c r="M94" s="37" t="n"/>
    </row>
    <row r="95">
      <c r="A95" s="37" t="n"/>
      <c r="B95" s="37" t="n"/>
      <c r="C95" s="37" t="n"/>
      <c r="D95" s="37" t="n"/>
      <c r="E95" s="38" t="n"/>
      <c r="F95" s="39" t="n"/>
      <c r="G95" s="37" t="n"/>
      <c r="H95" s="40" t="n"/>
      <c r="I95" s="40" t="n"/>
      <c r="J95" s="40" t="n"/>
      <c r="K95" s="40" t="n"/>
      <c r="L95" s="41" t="n"/>
      <c r="M95" s="37" t="n"/>
    </row>
    <row r="96">
      <c r="A96" s="37" t="n"/>
      <c r="B96" s="37" t="n"/>
      <c r="C96" s="37" t="n"/>
      <c r="D96" s="37" t="n"/>
      <c r="E96" s="38" t="n"/>
      <c r="F96" s="39" t="n"/>
      <c r="G96" s="37" t="n"/>
      <c r="H96" s="40" t="n"/>
      <c r="I96" s="40" t="n"/>
      <c r="J96" s="40" t="n"/>
      <c r="K96" s="40" t="n"/>
      <c r="L96" s="41" t="n"/>
      <c r="M96" s="37" t="n"/>
    </row>
    <row r="97">
      <c r="A97" s="37" t="n"/>
      <c r="B97" s="37" t="n"/>
      <c r="C97" s="37" t="n"/>
      <c r="D97" s="37" t="n"/>
      <c r="E97" s="38" t="n"/>
      <c r="F97" s="39" t="n"/>
      <c r="G97" s="37" t="n"/>
      <c r="H97" s="40" t="n"/>
      <c r="I97" s="40" t="n"/>
      <c r="J97" s="40" t="n"/>
      <c r="K97" s="40" t="n"/>
      <c r="L97" s="41" t="n"/>
      <c r="M97" s="37" t="n"/>
    </row>
    <row r="98">
      <c r="A98" s="37" t="n"/>
      <c r="B98" s="37" t="n"/>
      <c r="C98" s="37" t="n"/>
      <c r="D98" s="37" t="n"/>
      <c r="E98" s="38" t="n"/>
      <c r="F98" s="39" t="n"/>
      <c r="G98" s="37" t="n"/>
      <c r="H98" s="40" t="n"/>
      <c r="I98" s="40" t="n"/>
      <c r="J98" s="40" t="n"/>
      <c r="K98" s="40" t="n"/>
      <c r="L98" s="41" t="n"/>
      <c r="M98" s="37" t="n"/>
    </row>
    <row r="99">
      <c r="A99" s="37" t="n"/>
      <c r="B99" s="37" t="n"/>
      <c r="C99" s="37" t="n"/>
      <c r="D99" s="37" t="n"/>
      <c r="E99" s="38" t="n"/>
      <c r="F99" s="39" t="n"/>
      <c r="G99" s="37" t="n"/>
      <c r="H99" s="40" t="n"/>
      <c r="I99" s="40" t="n"/>
      <c r="J99" s="40" t="n"/>
      <c r="K99" s="40" t="n"/>
      <c r="L99" s="41" t="n"/>
      <c r="M99" s="37" t="n"/>
    </row>
    <row r="100">
      <c r="A100" s="37" t="n"/>
      <c r="B100" s="37" t="n"/>
      <c r="C100" s="37" t="n"/>
      <c r="D100" s="37" t="n"/>
      <c r="E100" s="38" t="n"/>
      <c r="F100" s="39" t="n"/>
      <c r="G100" s="37" t="n"/>
      <c r="H100" s="40" t="n"/>
      <c r="I100" s="40" t="n"/>
      <c r="J100" s="40" t="n"/>
      <c r="K100" s="40" t="n"/>
      <c r="L100" s="41" t="n"/>
      <c r="M100" s="37" t="n"/>
    </row>
    <row r="101">
      <c r="A101" s="37" t="n"/>
      <c r="B101" s="37" t="n"/>
      <c r="C101" s="37" t="n"/>
      <c r="D101" s="37" t="n"/>
      <c r="E101" s="38" t="n"/>
      <c r="F101" s="39" t="n"/>
      <c r="G101" s="37" t="n"/>
      <c r="H101" s="40" t="n"/>
      <c r="I101" s="40" t="n"/>
      <c r="J101" s="40" t="n"/>
      <c r="K101" s="40" t="n"/>
      <c r="L101" s="41" t="n"/>
      <c r="M101" s="37" t="n"/>
    </row>
    <row r="102">
      <c r="A102" s="37" t="n"/>
      <c r="B102" s="37" t="n"/>
      <c r="C102" s="37" t="n"/>
      <c r="D102" s="37" t="n"/>
      <c r="E102" s="38" t="n"/>
      <c r="F102" s="39" t="n"/>
      <c r="G102" s="37" t="n"/>
      <c r="H102" s="40" t="n"/>
      <c r="I102" s="40" t="n"/>
      <c r="J102" s="40" t="n"/>
      <c r="K102" s="40" t="n"/>
      <c r="L102" s="41" t="n"/>
      <c r="M102" s="37" t="n"/>
    </row>
    <row r="103">
      <c r="A103" s="37" t="n"/>
      <c r="B103" s="37" t="n"/>
      <c r="C103" s="37" t="n"/>
      <c r="D103" s="37" t="n"/>
      <c r="E103" s="38" t="n"/>
      <c r="F103" s="39" t="n"/>
      <c r="G103" s="37" t="n"/>
      <c r="H103" s="40" t="n"/>
      <c r="I103" s="40" t="n"/>
      <c r="J103" s="40" t="n"/>
      <c r="K103" s="40" t="n"/>
      <c r="L103" s="41" t="n"/>
      <c r="M103" s="37" t="n"/>
    </row>
    <row r="104">
      <c r="A104" s="37" t="n"/>
      <c r="B104" s="37" t="n"/>
      <c r="C104" s="37" t="n"/>
      <c r="D104" s="37" t="n"/>
      <c r="E104" s="38" t="n"/>
      <c r="F104" s="39" t="n"/>
      <c r="G104" s="37" t="n"/>
      <c r="H104" s="40" t="n"/>
      <c r="I104" s="40" t="n"/>
      <c r="J104" s="40" t="n"/>
      <c r="K104" s="40" t="n"/>
      <c r="L104" s="41" t="n"/>
      <c r="M104" s="37" t="n"/>
    </row>
    <row r="105">
      <c r="A105" s="37" t="n"/>
      <c r="B105" s="37" t="n"/>
      <c r="C105" s="37" t="n"/>
      <c r="D105" s="37" t="n"/>
      <c r="E105" s="38" t="n"/>
      <c r="F105" s="39" t="n"/>
      <c r="G105" s="37" t="n"/>
      <c r="H105" s="40" t="n"/>
      <c r="I105" s="40" t="n"/>
      <c r="J105" s="40" t="n"/>
      <c r="K105" s="40" t="n"/>
      <c r="L105" s="41" t="n"/>
      <c r="M105" s="37" t="n"/>
    </row>
    <row r="106">
      <c r="A106" s="37" t="n"/>
      <c r="B106" s="37" t="n"/>
      <c r="C106" s="37" t="n"/>
      <c r="D106" s="37" t="n"/>
      <c r="E106" s="38" t="n"/>
      <c r="F106" s="39" t="n"/>
      <c r="G106" s="37" t="n"/>
      <c r="H106" s="40" t="n"/>
      <c r="I106" s="40" t="n"/>
      <c r="J106" s="40" t="n"/>
      <c r="K106" s="40" t="n"/>
      <c r="L106" s="41" t="n"/>
      <c r="M106" s="37" t="n"/>
    </row>
    <row r="107">
      <c r="A107" s="37" t="n"/>
      <c r="B107" s="37" t="n"/>
      <c r="C107" s="37" t="n"/>
      <c r="D107" s="37" t="n"/>
      <c r="E107" s="38" t="n"/>
      <c r="F107" s="39" t="n"/>
      <c r="G107" s="37" t="n"/>
      <c r="H107" s="40" t="n"/>
      <c r="I107" s="40" t="n"/>
      <c r="J107" s="40" t="n"/>
      <c r="K107" s="40" t="n"/>
      <c r="L107" s="41" t="n"/>
      <c r="M107" s="37" t="n"/>
    </row>
    <row r="108">
      <c r="A108" s="37" t="n"/>
      <c r="B108" s="37" t="n"/>
      <c r="C108" s="37" t="n"/>
      <c r="D108" s="37" t="n"/>
      <c r="E108" s="38" t="n"/>
      <c r="F108" s="39" t="n"/>
      <c r="G108" s="37" t="n"/>
      <c r="H108" s="40" t="n"/>
      <c r="I108" s="40" t="n"/>
      <c r="J108" s="40" t="n"/>
      <c r="K108" s="40" t="n"/>
      <c r="L108" s="41" t="n"/>
      <c r="M108" s="37" t="n"/>
    </row>
    <row r="109">
      <c r="A109" s="37" t="n"/>
      <c r="B109" s="37" t="n"/>
      <c r="C109" s="37" t="n"/>
      <c r="D109" s="37" t="n"/>
      <c r="E109" s="38" t="n"/>
      <c r="F109" s="39" t="n"/>
      <c r="G109" s="37" t="n"/>
      <c r="H109" s="40" t="n"/>
      <c r="I109" s="40" t="n"/>
      <c r="J109" s="40" t="n"/>
      <c r="K109" s="40" t="n"/>
      <c r="L109" s="41" t="n"/>
      <c r="M109" s="37" t="n"/>
    </row>
    <row r="110">
      <c r="A110" s="37" t="n"/>
      <c r="B110" s="37" t="n"/>
      <c r="C110" s="37" t="n"/>
      <c r="D110" s="37" t="n"/>
      <c r="E110" s="38" t="n"/>
      <c r="F110" s="39" t="n"/>
      <c r="G110" s="37" t="n"/>
      <c r="H110" s="40" t="n"/>
      <c r="I110" s="40" t="n"/>
      <c r="J110" s="40" t="n"/>
      <c r="K110" s="40" t="n"/>
      <c r="L110" s="41" t="n"/>
      <c r="M110" s="37" t="n"/>
    </row>
    <row r="111">
      <c r="A111" s="37" t="n"/>
      <c r="B111" s="37" t="n"/>
      <c r="C111" s="37" t="n"/>
      <c r="D111" s="37" t="n"/>
      <c r="E111" s="38" t="n"/>
      <c r="F111" s="39" t="n"/>
      <c r="G111" s="37" t="n"/>
      <c r="H111" s="40" t="n"/>
      <c r="I111" s="40" t="n"/>
      <c r="J111" s="40" t="n"/>
      <c r="K111" s="40" t="n"/>
      <c r="L111" s="41" t="n"/>
      <c r="M111" s="37" t="n"/>
    </row>
    <row r="112">
      <c r="A112" s="37" t="n"/>
      <c r="B112" s="37" t="n"/>
      <c r="C112" s="37" t="n"/>
      <c r="D112" s="37" t="n"/>
      <c r="E112" s="38" t="n"/>
      <c r="F112" s="39" t="n"/>
      <c r="G112" s="37" t="n"/>
      <c r="H112" s="40" t="n"/>
      <c r="I112" s="40" t="n"/>
      <c r="J112" s="40" t="n"/>
      <c r="K112" s="40" t="n"/>
      <c r="L112" s="41" t="n"/>
      <c r="M112" s="37" t="n"/>
    </row>
    <row r="113">
      <c r="A113" s="37" t="n"/>
      <c r="B113" s="37" t="n"/>
      <c r="C113" s="37" t="n"/>
      <c r="D113" s="37" t="n"/>
      <c r="E113" s="38" t="n"/>
      <c r="F113" s="39" t="n"/>
      <c r="G113" s="37" t="n"/>
      <c r="H113" s="40" t="n"/>
      <c r="I113" s="40" t="n"/>
      <c r="J113" s="40" t="n"/>
      <c r="K113" s="40" t="n"/>
      <c r="L113" s="41" t="n"/>
      <c r="M113" s="37" t="n"/>
    </row>
    <row r="114">
      <c r="A114" s="37" t="n"/>
      <c r="B114" s="37" t="n"/>
      <c r="C114" s="37" t="n"/>
      <c r="D114" s="37" t="n"/>
      <c r="E114" s="38" t="n"/>
      <c r="F114" s="39" t="n"/>
      <c r="G114" s="37" t="n"/>
      <c r="H114" s="40" t="n"/>
      <c r="I114" s="40" t="n"/>
      <c r="J114" s="40" t="n"/>
      <c r="K114" s="40" t="n"/>
      <c r="L114" s="41" t="n"/>
      <c r="M114" s="37" t="n"/>
    </row>
    <row r="115">
      <c r="A115" s="37" t="n"/>
      <c r="B115" s="37" t="n"/>
      <c r="C115" s="37" t="n"/>
      <c r="D115" s="37" t="n"/>
      <c r="E115" s="38" t="n"/>
      <c r="F115" s="39" t="n"/>
      <c r="G115" s="37" t="n"/>
      <c r="H115" s="40" t="n"/>
      <c r="I115" s="40" t="n"/>
      <c r="J115" s="40" t="n"/>
      <c r="K115" s="40" t="n"/>
      <c r="L115" s="41" t="n"/>
      <c r="M115" s="37" t="n"/>
    </row>
    <row r="116">
      <c r="A116" s="37" t="n"/>
      <c r="B116" s="37" t="n"/>
      <c r="C116" s="37" t="n"/>
      <c r="D116" s="37" t="n"/>
      <c r="E116" s="38" t="n"/>
      <c r="F116" s="39" t="n"/>
      <c r="G116" s="37" t="n"/>
      <c r="H116" s="40" t="n"/>
      <c r="I116" s="40" t="n"/>
      <c r="J116" s="40" t="n"/>
      <c r="K116" s="40" t="n"/>
      <c r="L116" s="41" t="n"/>
      <c r="M116" s="37" t="n"/>
    </row>
    <row r="117">
      <c r="A117" s="37" t="n"/>
      <c r="B117" s="37" t="n"/>
      <c r="C117" s="37" t="n"/>
      <c r="D117" s="37" t="n"/>
      <c r="E117" s="38" t="n"/>
      <c r="F117" s="39" t="n"/>
      <c r="G117" s="37" t="n"/>
      <c r="H117" s="40" t="n"/>
      <c r="I117" s="40" t="n"/>
      <c r="J117" s="40" t="n"/>
      <c r="K117" s="40" t="n"/>
      <c r="L117" s="41" t="n"/>
      <c r="M117" s="37" t="n"/>
    </row>
    <row r="118">
      <c r="A118" s="37" t="n"/>
      <c r="B118" s="37" t="n"/>
      <c r="C118" s="37" t="n"/>
      <c r="D118" s="37" t="n"/>
      <c r="E118" s="38" t="n"/>
      <c r="F118" s="39" t="n"/>
      <c r="G118" s="37" t="n"/>
      <c r="H118" s="40" t="n"/>
      <c r="I118" s="40" t="n"/>
      <c r="J118" s="40" t="n"/>
      <c r="K118" s="40" t="n"/>
      <c r="L118" s="41" t="n"/>
      <c r="M118" s="37" t="n"/>
    </row>
    <row r="119">
      <c r="A119" s="37" t="n"/>
      <c r="B119" s="37" t="n"/>
      <c r="C119" s="37" t="n"/>
      <c r="D119" s="37" t="n"/>
      <c r="E119" s="38" t="n"/>
      <c r="F119" s="39" t="n"/>
      <c r="G119" s="37" t="n"/>
      <c r="H119" s="40" t="n"/>
      <c r="I119" s="40" t="n"/>
      <c r="J119" s="40" t="n"/>
      <c r="K119" s="40" t="n"/>
      <c r="L119" s="41" t="n"/>
      <c r="M119" s="37" t="n"/>
    </row>
    <row r="120">
      <c r="A120" s="37" t="n"/>
      <c r="B120" s="37" t="n"/>
      <c r="C120" s="37" t="n"/>
      <c r="D120" s="37" t="n"/>
      <c r="E120" s="38" t="n"/>
      <c r="F120" s="39" t="n"/>
      <c r="G120" s="37" t="n"/>
      <c r="H120" s="40" t="n"/>
      <c r="I120" s="40" t="n"/>
      <c r="J120" s="40" t="n"/>
      <c r="K120" s="40" t="n"/>
      <c r="L120" s="41" t="n"/>
      <c r="M120" s="37" t="n"/>
    </row>
    <row r="121">
      <c r="A121" s="37" t="n"/>
      <c r="B121" s="37" t="n"/>
      <c r="C121" s="37" t="n"/>
      <c r="D121" s="37" t="n"/>
      <c r="E121" s="38" t="n"/>
      <c r="F121" s="39" t="n"/>
      <c r="G121" s="37" t="n"/>
      <c r="H121" s="40" t="n"/>
      <c r="I121" s="40" t="n"/>
      <c r="J121" s="40" t="n"/>
      <c r="K121" s="40" t="n"/>
      <c r="L121" s="41" t="n"/>
      <c r="M121" s="37" t="n"/>
    </row>
    <row r="122">
      <c r="A122" s="37" t="n"/>
      <c r="B122" s="37" t="n"/>
      <c r="C122" s="37" t="n"/>
      <c r="D122" s="37" t="n"/>
      <c r="E122" s="38" t="n"/>
      <c r="F122" s="39" t="n"/>
      <c r="G122" s="37" t="n"/>
      <c r="H122" s="40" t="n"/>
      <c r="I122" s="40" t="n"/>
      <c r="J122" s="40" t="n"/>
      <c r="K122" s="40" t="n"/>
      <c r="L122" s="41" t="n"/>
      <c r="M122" s="37" t="n"/>
    </row>
    <row r="123">
      <c r="A123" s="37" t="n"/>
      <c r="B123" s="37" t="n"/>
      <c r="C123" s="37" t="n"/>
      <c r="D123" s="37" t="n"/>
      <c r="E123" s="38" t="n"/>
      <c r="F123" s="39" t="n"/>
      <c r="G123" s="37" t="n"/>
      <c r="H123" s="40" t="n"/>
      <c r="I123" s="40" t="n"/>
      <c r="J123" s="40" t="n"/>
      <c r="K123" s="40" t="n"/>
      <c r="L123" s="41" t="n"/>
      <c r="M123" s="37" t="n"/>
    </row>
    <row r="124">
      <c r="A124" s="37" t="n"/>
      <c r="B124" s="37" t="n"/>
      <c r="C124" s="37" t="n"/>
      <c r="D124" s="37" t="n"/>
      <c r="E124" s="38" t="n"/>
      <c r="F124" s="39" t="n"/>
      <c r="G124" s="37" t="n"/>
      <c r="H124" s="40" t="n"/>
      <c r="I124" s="40" t="n"/>
      <c r="J124" s="40" t="n"/>
      <c r="K124" s="40" t="n"/>
      <c r="L124" s="41" t="n"/>
      <c r="M124" s="37" t="n"/>
    </row>
    <row r="125">
      <c r="A125" s="37" t="n"/>
      <c r="B125" s="37" t="n"/>
      <c r="C125" s="37" t="n"/>
      <c r="D125" s="37" t="n"/>
      <c r="E125" s="38" t="n"/>
      <c r="F125" s="39" t="n"/>
      <c r="G125" s="37" t="n"/>
      <c r="H125" s="40" t="n"/>
      <c r="I125" s="40" t="n"/>
      <c r="J125" s="40" t="n"/>
      <c r="K125" s="40" t="n"/>
      <c r="L125" s="41" t="n"/>
      <c r="M125" s="37" t="n"/>
    </row>
    <row r="126">
      <c r="A126" s="37" t="n"/>
      <c r="B126" s="37" t="n"/>
      <c r="C126" s="37" t="n"/>
      <c r="D126" s="37" t="n"/>
      <c r="E126" s="38" t="n"/>
      <c r="F126" s="39" t="n"/>
      <c r="G126" s="37" t="n"/>
      <c r="H126" s="40" t="n"/>
      <c r="I126" s="40" t="n"/>
      <c r="J126" s="40" t="n"/>
      <c r="K126" s="40" t="n"/>
      <c r="L126" s="41" t="n"/>
      <c r="M126" s="37" t="n"/>
    </row>
    <row r="127">
      <c r="A127" s="37" t="n"/>
      <c r="B127" s="37" t="n"/>
      <c r="C127" s="37" t="n"/>
      <c r="D127" s="37" t="n"/>
      <c r="E127" s="38" t="n"/>
      <c r="F127" s="39" t="n"/>
      <c r="G127" s="37" t="n"/>
      <c r="H127" s="40" t="n"/>
      <c r="I127" s="40" t="n"/>
      <c r="J127" s="40" t="n"/>
      <c r="K127" s="40" t="n"/>
      <c r="L127" s="41" t="n"/>
      <c r="M127" s="37" t="n"/>
    </row>
    <row r="128">
      <c r="A128" s="37" t="n"/>
      <c r="B128" s="37" t="n"/>
      <c r="C128" s="37" t="n"/>
      <c r="D128" s="37" t="n"/>
      <c r="E128" s="38" t="n"/>
      <c r="F128" s="39" t="n"/>
      <c r="G128" s="37" t="n"/>
      <c r="H128" s="40" t="n"/>
      <c r="I128" s="40" t="n"/>
      <c r="J128" s="40" t="n"/>
      <c r="K128" s="40" t="n"/>
      <c r="L128" s="41" t="n"/>
      <c r="M128" s="37" t="n"/>
    </row>
    <row r="129">
      <c r="A129" s="37" t="n"/>
      <c r="B129" s="37" t="n"/>
      <c r="C129" s="37" t="n"/>
      <c r="D129" s="37" t="n"/>
      <c r="E129" s="38" t="n"/>
      <c r="F129" s="39" t="n"/>
      <c r="G129" s="37" t="n"/>
      <c r="H129" s="40" t="n"/>
      <c r="I129" s="40" t="n"/>
      <c r="J129" s="40" t="n"/>
      <c r="K129" s="40" t="n"/>
      <c r="L129" s="41" t="n"/>
      <c r="M129" s="37" t="n"/>
    </row>
    <row r="130">
      <c r="A130" s="37" t="n"/>
      <c r="B130" s="37" t="n"/>
      <c r="C130" s="37" t="n"/>
      <c r="D130" s="37" t="n"/>
      <c r="E130" s="38" t="n"/>
      <c r="F130" s="39" t="n"/>
      <c r="G130" s="37" t="n"/>
      <c r="H130" s="40" t="n"/>
      <c r="I130" s="40" t="n"/>
      <c r="J130" s="40" t="n"/>
      <c r="K130" s="40" t="n"/>
      <c r="L130" s="41" t="n"/>
      <c r="M130" s="37" t="n"/>
    </row>
    <row r="131">
      <c r="A131" s="37" t="n"/>
      <c r="B131" s="37" t="n"/>
      <c r="C131" s="37" t="n"/>
      <c r="D131" s="37" t="n"/>
      <c r="E131" s="38" t="n"/>
      <c r="F131" s="39" t="n"/>
      <c r="G131" s="37" t="n"/>
      <c r="H131" s="40" t="n"/>
      <c r="I131" s="40" t="n"/>
      <c r="J131" s="40" t="n"/>
      <c r="K131" s="40" t="n"/>
      <c r="L131" s="41" t="n"/>
      <c r="M131" s="37" t="n"/>
    </row>
    <row r="132">
      <c r="A132" s="37" t="n"/>
      <c r="B132" s="37" t="n"/>
      <c r="C132" s="37" t="n"/>
      <c r="D132" s="37" t="n"/>
      <c r="E132" s="38" t="n"/>
      <c r="F132" s="39" t="n"/>
      <c r="G132" s="37" t="n"/>
      <c r="H132" s="40" t="n"/>
      <c r="I132" s="40" t="n"/>
      <c r="J132" s="40" t="n"/>
      <c r="K132" s="40" t="n"/>
      <c r="L132" s="41" t="n"/>
      <c r="M132" s="37" t="n"/>
    </row>
    <row r="133">
      <c r="A133" s="37" t="n"/>
      <c r="B133" s="37" t="n"/>
      <c r="C133" s="37" t="n"/>
      <c r="D133" s="37" t="n"/>
      <c r="E133" s="38" t="n"/>
      <c r="F133" s="39" t="n"/>
      <c r="G133" s="37" t="n"/>
      <c r="H133" s="40" t="n"/>
      <c r="I133" s="40" t="n"/>
      <c r="J133" s="40" t="n"/>
      <c r="K133" s="40" t="n"/>
      <c r="L133" s="41" t="n"/>
      <c r="M133" s="37" t="n"/>
    </row>
    <row r="134">
      <c r="A134" s="37" t="n"/>
      <c r="B134" s="37" t="n"/>
      <c r="C134" s="37" t="n"/>
      <c r="D134" s="37" t="n"/>
      <c r="E134" s="38" t="n"/>
      <c r="F134" s="39" t="n"/>
      <c r="G134" s="37" t="n"/>
      <c r="H134" s="40" t="n"/>
      <c r="I134" s="40" t="n"/>
      <c r="J134" s="40" t="n"/>
      <c r="K134" s="40" t="n"/>
      <c r="L134" s="41" t="n"/>
      <c r="M134" s="37" t="n"/>
    </row>
    <row r="135">
      <c r="A135" s="37" t="n"/>
      <c r="B135" s="37" t="n"/>
      <c r="C135" s="37" t="n"/>
      <c r="D135" s="37" t="n"/>
      <c r="E135" s="38" t="n"/>
      <c r="F135" s="39" t="n"/>
      <c r="G135" s="37" t="n"/>
      <c r="H135" s="40" t="n"/>
      <c r="I135" s="40" t="n"/>
      <c r="J135" s="40" t="n"/>
      <c r="K135" s="40" t="n"/>
      <c r="L135" s="41" t="n"/>
      <c r="M135" s="37" t="n"/>
    </row>
    <row r="136">
      <c r="A136" s="37" t="n"/>
      <c r="B136" s="37" t="n"/>
      <c r="C136" s="37" t="n"/>
      <c r="D136" s="37" t="n"/>
      <c r="E136" s="38" t="n"/>
      <c r="F136" s="39" t="n"/>
      <c r="G136" s="37" t="n"/>
      <c r="H136" s="40" t="n"/>
      <c r="I136" s="40" t="n"/>
      <c r="J136" s="40" t="n"/>
      <c r="K136" s="40" t="n"/>
      <c r="L136" s="41" t="n"/>
      <c r="M136" s="37" t="n"/>
    </row>
    <row r="137">
      <c r="A137" s="37" t="n"/>
      <c r="B137" s="37" t="n"/>
      <c r="C137" s="37" t="n"/>
      <c r="D137" s="37" t="n"/>
      <c r="E137" s="38" t="n"/>
      <c r="F137" s="39" t="n"/>
      <c r="G137" s="37" t="n"/>
      <c r="H137" s="40" t="n"/>
      <c r="I137" s="40" t="n"/>
      <c r="J137" s="40" t="n"/>
      <c r="K137" s="40" t="n"/>
      <c r="L137" s="41" t="n"/>
      <c r="M137" s="37" t="n"/>
    </row>
    <row r="138">
      <c r="A138" s="37" t="n"/>
      <c r="B138" s="37" t="n"/>
      <c r="C138" s="37" t="n"/>
      <c r="D138" s="37" t="n"/>
      <c r="E138" s="38" t="n"/>
      <c r="F138" s="39" t="n"/>
      <c r="G138" s="37" t="n"/>
      <c r="H138" s="40" t="n"/>
      <c r="I138" s="40" t="n"/>
      <c r="J138" s="40" t="n"/>
      <c r="K138" s="40" t="n"/>
      <c r="L138" s="41" t="n"/>
      <c r="M138" s="37" t="n"/>
    </row>
    <row r="139">
      <c r="A139" s="37" t="n"/>
      <c r="B139" s="37" t="n"/>
      <c r="C139" s="37" t="n"/>
      <c r="D139" s="37" t="n"/>
      <c r="E139" s="38" t="n"/>
      <c r="F139" s="39" t="n"/>
      <c r="G139" s="37" t="n"/>
      <c r="H139" s="40" t="n"/>
      <c r="I139" s="40" t="n"/>
      <c r="J139" s="40" t="n"/>
      <c r="K139" s="40" t="n"/>
      <c r="L139" s="41" t="n"/>
      <c r="M139" s="37" t="n"/>
    </row>
    <row r="140">
      <c r="A140" s="37" t="n"/>
      <c r="B140" s="37" t="n"/>
      <c r="C140" s="37" t="n"/>
      <c r="D140" s="37" t="n"/>
      <c r="E140" s="38" t="n"/>
      <c r="F140" s="39" t="n"/>
      <c r="G140" s="37" t="n"/>
      <c r="H140" s="40" t="n"/>
      <c r="I140" s="40" t="n"/>
      <c r="J140" s="40" t="n"/>
      <c r="K140" s="40" t="n"/>
      <c r="L140" s="41" t="n"/>
      <c r="M140" s="37" t="n"/>
    </row>
    <row r="141">
      <c r="A141" s="37" t="n"/>
      <c r="B141" s="37" t="n"/>
      <c r="C141" s="37" t="n"/>
      <c r="D141" s="37" t="n"/>
      <c r="E141" s="38" t="n"/>
      <c r="F141" s="39" t="n"/>
      <c r="G141" s="37" t="n"/>
      <c r="H141" s="40" t="n"/>
      <c r="I141" s="40" t="n"/>
      <c r="J141" s="40" t="n"/>
      <c r="K141" s="40" t="n"/>
      <c r="L141" s="41" t="n"/>
      <c r="M141" s="37" t="n"/>
    </row>
    <row r="142">
      <c r="A142" s="37" t="n"/>
      <c r="B142" s="37" t="n"/>
      <c r="C142" s="37" t="n"/>
      <c r="D142" s="37" t="n"/>
      <c r="E142" s="38" t="n"/>
      <c r="F142" s="39" t="n"/>
      <c r="G142" s="37" t="n"/>
      <c r="H142" s="40" t="n"/>
      <c r="I142" s="40" t="n"/>
      <c r="J142" s="40" t="n"/>
      <c r="K142" s="40" t="n"/>
      <c r="L142" s="41" t="n"/>
      <c r="M142" s="37" t="n"/>
    </row>
    <row r="143">
      <c r="A143" s="37" t="n"/>
      <c r="B143" s="37" t="n"/>
      <c r="C143" s="37" t="n"/>
      <c r="D143" s="37" t="n"/>
      <c r="E143" s="38" t="n"/>
      <c r="F143" s="39" t="n"/>
      <c r="G143" s="37" t="n"/>
      <c r="H143" s="40" t="n"/>
      <c r="I143" s="40" t="n"/>
      <c r="J143" s="40" t="n"/>
      <c r="K143" s="40" t="n"/>
      <c r="L143" s="41" t="n"/>
      <c r="M143" s="37" t="n"/>
    </row>
    <row r="144">
      <c r="A144" s="37" t="n"/>
      <c r="B144" s="37" t="n"/>
      <c r="C144" s="37" t="n"/>
      <c r="D144" s="37" t="n"/>
      <c r="E144" s="38" t="n"/>
      <c r="F144" s="39" t="n"/>
      <c r="G144" s="37" t="n"/>
      <c r="H144" s="40" t="n"/>
      <c r="I144" s="40" t="n"/>
      <c r="J144" s="40" t="n"/>
      <c r="K144" s="40" t="n"/>
      <c r="L144" s="41" t="n"/>
      <c r="M144" s="37" t="n"/>
    </row>
    <row r="145">
      <c r="A145" s="37" t="n"/>
      <c r="B145" s="37" t="n"/>
      <c r="C145" s="37" t="n"/>
      <c r="D145" s="37" t="n"/>
      <c r="E145" s="38" t="n"/>
      <c r="F145" s="39" t="n"/>
      <c r="G145" s="37" t="n"/>
      <c r="H145" s="40" t="n"/>
      <c r="I145" s="40" t="n"/>
      <c r="J145" s="40" t="n"/>
      <c r="K145" s="40" t="n"/>
      <c r="L145" s="41" t="n"/>
      <c r="M145" s="37" t="n"/>
    </row>
    <row r="146">
      <c r="A146" s="37" t="n"/>
      <c r="B146" s="37" t="n"/>
      <c r="C146" s="37" t="n"/>
      <c r="D146" s="37" t="n"/>
      <c r="E146" s="38" t="n"/>
      <c r="F146" s="39" t="n"/>
      <c r="G146" s="37" t="n"/>
      <c r="H146" s="40" t="n"/>
      <c r="I146" s="40" t="n"/>
      <c r="J146" s="40" t="n"/>
      <c r="K146" s="40" t="n"/>
      <c r="L146" s="41" t="n"/>
      <c r="M146" s="37" t="n"/>
    </row>
    <row r="147">
      <c r="A147" s="37" t="n"/>
      <c r="B147" s="37" t="n"/>
      <c r="C147" s="37" t="n"/>
      <c r="D147" s="37" t="n"/>
      <c r="E147" s="38" t="n"/>
      <c r="F147" s="39" t="n"/>
      <c r="G147" s="37" t="n"/>
      <c r="H147" s="40" t="n"/>
      <c r="I147" s="40" t="n"/>
      <c r="J147" s="40" t="n"/>
      <c r="K147" s="40" t="n"/>
      <c r="L147" s="41" t="n"/>
      <c r="M147" s="37" t="n"/>
    </row>
    <row r="148">
      <c r="A148" s="37" t="n"/>
      <c r="B148" s="37" t="n"/>
      <c r="C148" s="37" t="n"/>
      <c r="D148" s="37" t="n"/>
      <c r="E148" s="38" t="n"/>
      <c r="F148" s="39" t="n"/>
      <c r="G148" s="37" t="n"/>
      <c r="H148" s="40" t="n"/>
      <c r="I148" s="40" t="n"/>
      <c r="J148" s="40" t="n"/>
      <c r="K148" s="40" t="n"/>
      <c r="L148" s="41" t="n"/>
      <c r="M148" s="37" t="n"/>
    </row>
    <row r="149">
      <c r="A149" s="37" t="n"/>
      <c r="B149" s="37" t="n"/>
      <c r="C149" s="37" t="n"/>
      <c r="D149" s="37" t="n"/>
      <c r="E149" s="38" t="n"/>
      <c r="F149" s="39" t="n"/>
      <c r="G149" s="37" t="n"/>
      <c r="H149" s="40" t="n"/>
      <c r="I149" s="40" t="n"/>
      <c r="J149" s="40" t="n"/>
      <c r="K149" s="40" t="n"/>
      <c r="L149" s="41" t="n"/>
      <c r="M149" s="37" t="n"/>
    </row>
    <row r="150">
      <c r="A150" s="37" t="n"/>
      <c r="B150" s="37" t="n"/>
      <c r="C150" s="37" t="n"/>
      <c r="D150" s="37" t="n"/>
      <c r="E150" s="38" t="n"/>
      <c r="F150" s="39" t="n"/>
      <c r="G150" s="37" t="n"/>
      <c r="H150" s="40" t="n"/>
      <c r="I150" s="40" t="n"/>
      <c r="J150" s="40" t="n"/>
      <c r="K150" s="40" t="n"/>
      <c r="L150" s="41" t="n"/>
      <c r="M150" s="37" t="n"/>
    </row>
    <row r="151">
      <c r="A151" s="37" t="n"/>
      <c r="B151" s="37" t="n"/>
      <c r="C151" s="37" t="n"/>
      <c r="D151" s="37" t="n"/>
      <c r="E151" s="38" t="n"/>
      <c r="F151" s="39" t="n"/>
      <c r="G151" s="37" t="n"/>
      <c r="H151" s="40" t="n"/>
      <c r="I151" s="40" t="n"/>
      <c r="J151" s="40" t="n"/>
      <c r="K151" s="40" t="n"/>
      <c r="L151" s="41" t="n"/>
      <c r="M151" s="37" t="n"/>
    </row>
    <row r="152">
      <c r="A152" s="37" t="n"/>
      <c r="B152" s="37" t="n"/>
      <c r="C152" s="37" t="n"/>
      <c r="D152" s="37" t="n"/>
      <c r="E152" s="38" t="n"/>
      <c r="F152" s="39" t="n"/>
      <c r="G152" s="37" t="n"/>
      <c r="H152" s="40" t="n"/>
      <c r="I152" s="40" t="n"/>
      <c r="J152" s="40" t="n"/>
      <c r="K152" s="40" t="n"/>
      <c r="L152" s="41" t="n"/>
      <c r="M152" s="37" t="n"/>
    </row>
    <row r="153">
      <c r="A153" s="37" t="n"/>
      <c r="B153" s="37" t="n"/>
      <c r="C153" s="37" t="n"/>
      <c r="D153" s="37" t="n"/>
      <c r="E153" s="38" t="n"/>
      <c r="F153" s="39" t="n"/>
      <c r="G153" s="37" t="n"/>
      <c r="H153" s="40" t="n"/>
      <c r="I153" s="40" t="n"/>
      <c r="J153" s="40" t="n"/>
      <c r="K153" s="40" t="n"/>
      <c r="L153" s="41" t="n"/>
      <c r="M153" s="37" t="n"/>
    </row>
    <row r="154">
      <c r="A154" s="37" t="n"/>
      <c r="B154" s="37" t="n"/>
      <c r="C154" s="37" t="n"/>
      <c r="D154" s="37" t="n"/>
      <c r="E154" s="38" t="n"/>
      <c r="F154" s="39" t="n"/>
      <c r="G154" s="37" t="n"/>
      <c r="H154" s="40" t="n"/>
      <c r="I154" s="40" t="n"/>
      <c r="J154" s="40" t="n"/>
      <c r="K154" s="40" t="n"/>
      <c r="L154" s="41" t="n"/>
      <c r="M154" s="37" t="n"/>
    </row>
    <row r="155">
      <c r="A155" s="37" t="n"/>
      <c r="B155" s="37" t="n"/>
      <c r="C155" s="37" t="n"/>
      <c r="D155" s="37" t="n"/>
      <c r="E155" s="38" t="n"/>
      <c r="F155" s="39" t="n"/>
      <c r="G155" s="37" t="n"/>
      <c r="H155" s="40" t="n"/>
      <c r="I155" s="40" t="n"/>
      <c r="J155" s="40" t="n"/>
      <c r="K155" s="40" t="n"/>
      <c r="L155" s="41" t="n"/>
      <c r="M155" s="37" t="n"/>
    </row>
    <row r="156">
      <c r="A156" s="37" t="n"/>
      <c r="B156" s="37" t="n"/>
      <c r="C156" s="37" t="n"/>
      <c r="D156" s="37" t="n"/>
      <c r="E156" s="38" t="n"/>
      <c r="F156" s="39" t="n"/>
      <c r="G156" s="37" t="n"/>
      <c r="H156" s="40" t="n"/>
      <c r="I156" s="40" t="n"/>
      <c r="J156" s="40" t="n"/>
      <c r="K156" s="40" t="n"/>
      <c r="L156" s="41" t="n"/>
      <c r="M156" s="37" t="n"/>
    </row>
    <row r="157">
      <c r="A157" s="37" t="n"/>
      <c r="B157" s="37" t="n"/>
      <c r="C157" s="37" t="n"/>
      <c r="D157" s="37" t="n"/>
      <c r="E157" s="38" t="n"/>
      <c r="F157" s="39" t="n"/>
      <c r="G157" s="37" t="n"/>
      <c r="H157" s="40" t="n"/>
      <c r="I157" s="40" t="n"/>
      <c r="J157" s="40" t="n"/>
      <c r="K157" s="40" t="n"/>
      <c r="L157" s="41" t="n"/>
      <c r="M157" s="37" t="n"/>
    </row>
    <row r="158">
      <c r="A158" s="37" t="n"/>
      <c r="B158" s="37" t="n"/>
      <c r="C158" s="37" t="n"/>
      <c r="D158" s="37" t="n"/>
      <c r="E158" s="38" t="n"/>
      <c r="F158" s="39" t="n"/>
      <c r="G158" s="37" t="n"/>
      <c r="H158" s="40" t="n"/>
      <c r="I158" s="40" t="n"/>
      <c r="J158" s="40" t="n"/>
      <c r="K158" s="40" t="n"/>
      <c r="L158" s="41" t="n"/>
      <c r="M158" s="37" t="n"/>
    </row>
    <row r="159">
      <c r="A159" s="37" t="n"/>
      <c r="B159" s="37" t="n"/>
      <c r="C159" s="37" t="n"/>
      <c r="D159" s="37" t="n"/>
      <c r="E159" s="38" t="n"/>
      <c r="F159" s="39" t="n"/>
      <c r="G159" s="37" t="n"/>
      <c r="H159" s="40" t="n"/>
      <c r="I159" s="40" t="n"/>
      <c r="J159" s="40" t="n"/>
      <c r="K159" s="40" t="n"/>
      <c r="L159" s="41" t="n"/>
      <c r="M159" s="37" t="n"/>
    </row>
    <row r="160">
      <c r="A160" s="37" t="n"/>
      <c r="B160" s="37" t="n"/>
      <c r="C160" s="37" t="n"/>
      <c r="D160" s="37" t="n"/>
      <c r="E160" s="38" t="n"/>
      <c r="F160" s="39" t="n"/>
      <c r="G160" s="37" t="n"/>
      <c r="H160" s="40" t="n"/>
      <c r="I160" s="40" t="n"/>
      <c r="J160" s="40" t="n"/>
      <c r="K160" s="40" t="n"/>
      <c r="L160" s="41" t="n"/>
      <c r="M160" s="37" t="n"/>
    </row>
    <row r="161">
      <c r="A161" s="37" t="n"/>
      <c r="B161" s="37" t="n"/>
      <c r="C161" s="37" t="n"/>
      <c r="D161" s="37" t="n"/>
      <c r="E161" s="38" t="n"/>
      <c r="F161" s="39" t="n"/>
      <c r="G161" s="37" t="n"/>
      <c r="H161" s="40" t="n"/>
      <c r="I161" s="40" t="n"/>
      <c r="J161" s="40" t="n"/>
      <c r="K161" s="40" t="n"/>
      <c r="L161" s="41" t="n"/>
      <c r="M161" s="37" t="n"/>
    </row>
    <row r="162">
      <c r="A162" s="37" t="n"/>
      <c r="B162" s="37" t="n"/>
      <c r="C162" s="37" t="n"/>
      <c r="D162" s="37" t="n"/>
      <c r="E162" s="38" t="n"/>
      <c r="F162" s="39" t="n"/>
      <c r="G162" s="37" t="n"/>
      <c r="H162" s="40" t="n"/>
      <c r="I162" s="40" t="n"/>
      <c r="J162" s="40" t="n"/>
      <c r="K162" s="40" t="n"/>
      <c r="L162" s="41" t="n"/>
      <c r="M162" s="37" t="n"/>
    </row>
    <row r="163">
      <c r="A163" s="37" t="n"/>
      <c r="B163" s="37" t="n"/>
      <c r="C163" s="37" t="n"/>
      <c r="D163" s="37" t="n"/>
      <c r="E163" s="38" t="n"/>
      <c r="F163" s="39" t="n"/>
      <c r="G163" s="37" t="n"/>
      <c r="H163" s="40" t="n"/>
      <c r="I163" s="40" t="n"/>
      <c r="J163" s="40" t="n"/>
      <c r="K163" s="40" t="n"/>
      <c r="L163" s="41" t="n"/>
      <c r="M163" s="37" t="n"/>
    </row>
    <row r="164">
      <c r="A164" s="37" t="n"/>
      <c r="B164" s="37" t="n"/>
      <c r="C164" s="37" t="n"/>
      <c r="D164" s="37" t="n"/>
      <c r="E164" s="38" t="n"/>
      <c r="F164" s="39" t="n"/>
      <c r="G164" s="37" t="n"/>
      <c r="H164" s="40" t="n"/>
      <c r="I164" s="40" t="n"/>
      <c r="J164" s="40" t="n"/>
      <c r="K164" s="40" t="n"/>
      <c r="L164" s="41" t="n"/>
      <c r="M164" s="37" t="n"/>
    </row>
    <row r="165">
      <c r="A165" s="37" t="n"/>
      <c r="B165" s="37" t="n"/>
      <c r="C165" s="37" t="n"/>
      <c r="D165" s="37" t="n"/>
      <c r="E165" s="38" t="n"/>
      <c r="F165" s="39" t="n"/>
      <c r="G165" s="37" t="n"/>
      <c r="H165" s="40" t="n"/>
      <c r="I165" s="40" t="n"/>
      <c r="J165" s="40" t="n"/>
      <c r="K165" s="40" t="n"/>
      <c r="L165" s="41" t="n"/>
      <c r="M165" s="37" t="n"/>
    </row>
    <row r="166">
      <c r="A166" s="37" t="n"/>
      <c r="B166" s="37" t="n"/>
      <c r="C166" s="37" t="n"/>
      <c r="D166" s="37" t="n"/>
      <c r="E166" s="38" t="n"/>
      <c r="F166" s="39" t="n"/>
      <c r="G166" s="37" t="n"/>
      <c r="H166" s="40" t="n"/>
      <c r="I166" s="40" t="n"/>
      <c r="J166" s="40" t="n"/>
      <c r="K166" s="40" t="n"/>
      <c r="L166" s="41" t="n"/>
      <c r="M166" s="37" t="n"/>
    </row>
    <row r="167">
      <c r="A167" s="37" t="n"/>
      <c r="B167" s="37" t="n"/>
      <c r="C167" s="37" t="n"/>
      <c r="D167" s="37" t="n"/>
      <c r="E167" s="38" t="n"/>
      <c r="F167" s="39" t="n"/>
      <c r="G167" s="37" t="n"/>
      <c r="H167" s="40" t="n"/>
      <c r="I167" s="40" t="n"/>
      <c r="J167" s="40" t="n"/>
      <c r="K167" s="40" t="n"/>
      <c r="L167" s="41" t="n"/>
      <c r="M167" s="37" t="n"/>
    </row>
    <row r="168">
      <c r="A168" s="37" t="n"/>
      <c r="B168" s="37" t="n"/>
      <c r="C168" s="37" t="n"/>
      <c r="D168" s="37" t="n"/>
      <c r="E168" s="38" t="n"/>
      <c r="F168" s="39" t="n"/>
      <c r="G168" s="37" t="n"/>
      <c r="H168" s="40" t="n"/>
      <c r="I168" s="40" t="n"/>
      <c r="J168" s="40" t="n"/>
      <c r="K168" s="40" t="n"/>
      <c r="L168" s="41" t="n"/>
      <c r="M168" s="37" t="n"/>
    </row>
    <row r="169">
      <c r="A169" s="37" t="n"/>
      <c r="B169" s="37" t="n"/>
      <c r="C169" s="37" t="n"/>
      <c r="D169" s="37" t="n"/>
      <c r="E169" s="38" t="n"/>
      <c r="F169" s="39" t="n"/>
      <c r="G169" s="37" t="n"/>
      <c r="H169" s="40" t="n"/>
      <c r="I169" s="40" t="n"/>
      <c r="J169" s="40" t="n"/>
      <c r="K169" s="40" t="n"/>
      <c r="L169" s="41" t="n"/>
      <c r="M169" s="37" t="n"/>
    </row>
    <row r="170">
      <c r="A170" s="37" t="n"/>
      <c r="B170" s="37" t="n"/>
      <c r="C170" s="37" t="n"/>
      <c r="D170" s="37" t="n"/>
      <c r="E170" s="38" t="n"/>
      <c r="F170" s="39" t="n"/>
      <c r="G170" s="37" t="n"/>
      <c r="H170" s="40" t="n"/>
      <c r="I170" s="40" t="n"/>
      <c r="J170" s="40" t="n"/>
      <c r="K170" s="40" t="n"/>
      <c r="L170" s="41" t="n"/>
      <c r="M170" s="37" t="n"/>
    </row>
    <row r="171">
      <c r="A171" s="37" t="n"/>
      <c r="B171" s="37" t="n"/>
      <c r="C171" s="37" t="n"/>
      <c r="D171" s="37" t="n"/>
      <c r="E171" s="38" t="n"/>
      <c r="F171" s="39" t="n"/>
      <c r="G171" s="37" t="n"/>
      <c r="H171" s="40" t="n"/>
      <c r="I171" s="40" t="n"/>
      <c r="J171" s="40" t="n"/>
      <c r="K171" s="40" t="n"/>
      <c r="L171" s="41" t="n"/>
      <c r="M171" s="37" t="n"/>
    </row>
    <row r="172">
      <c r="A172" s="37" t="n"/>
      <c r="B172" s="37" t="n"/>
      <c r="C172" s="37" t="n"/>
      <c r="D172" s="37" t="n"/>
      <c r="E172" s="38" t="n"/>
      <c r="F172" s="39" t="n"/>
      <c r="G172" s="37" t="n"/>
      <c r="H172" s="40" t="n"/>
      <c r="I172" s="40" t="n"/>
      <c r="J172" s="40" t="n"/>
      <c r="K172" s="40" t="n"/>
      <c r="L172" s="41" t="n"/>
      <c r="M172" s="37" t="n"/>
    </row>
    <row r="173">
      <c r="A173" s="37" t="n"/>
      <c r="B173" s="37" t="n"/>
      <c r="C173" s="37" t="n"/>
      <c r="D173" s="37" t="n"/>
      <c r="E173" s="38" t="n"/>
      <c r="F173" s="39" t="n"/>
      <c r="G173" s="37" t="n"/>
      <c r="H173" s="40" t="n"/>
      <c r="I173" s="40" t="n"/>
      <c r="J173" s="40" t="n"/>
      <c r="K173" s="40" t="n"/>
      <c r="L173" s="41" t="n"/>
      <c r="M173" s="37" t="n"/>
    </row>
    <row r="174">
      <c r="A174" s="37" t="n"/>
      <c r="B174" s="37" t="n"/>
      <c r="C174" s="37" t="n"/>
      <c r="D174" s="37" t="n"/>
      <c r="E174" s="38" t="n"/>
      <c r="F174" s="39" t="n"/>
      <c r="G174" s="37" t="n"/>
      <c r="H174" s="40" t="n"/>
      <c r="I174" s="40" t="n"/>
      <c r="J174" s="40" t="n"/>
      <c r="K174" s="40" t="n"/>
      <c r="L174" s="41" t="n"/>
      <c r="M174" s="37" t="n"/>
    </row>
    <row r="175">
      <c r="A175" s="37" t="n"/>
      <c r="B175" s="37" t="n"/>
      <c r="C175" s="37" t="n"/>
      <c r="D175" s="37" t="n"/>
      <c r="E175" s="38" t="n"/>
      <c r="F175" s="39" t="n"/>
      <c r="G175" s="37" t="n"/>
      <c r="H175" s="40" t="n"/>
      <c r="I175" s="40" t="n"/>
      <c r="J175" s="40" t="n"/>
      <c r="K175" s="40" t="n"/>
      <c r="L175" s="41" t="n"/>
      <c r="M175" s="37" t="n"/>
    </row>
    <row r="176">
      <c r="A176" s="37" t="n"/>
      <c r="B176" s="37" t="n"/>
      <c r="C176" s="37" t="n"/>
      <c r="D176" s="37" t="n"/>
      <c r="E176" s="38" t="n"/>
      <c r="F176" s="39" t="n"/>
      <c r="G176" s="37" t="n"/>
      <c r="H176" s="40" t="n"/>
      <c r="I176" s="40" t="n"/>
      <c r="J176" s="40" t="n"/>
      <c r="K176" s="40" t="n"/>
      <c r="L176" s="41" t="n"/>
      <c r="M176" s="37" t="n"/>
    </row>
    <row r="177">
      <c r="A177" s="37" t="n"/>
      <c r="B177" s="37" t="n"/>
      <c r="C177" s="37" t="n"/>
      <c r="D177" s="37" t="n"/>
      <c r="E177" s="38" t="n"/>
      <c r="F177" s="39" t="n"/>
      <c r="G177" s="37" t="n"/>
      <c r="H177" s="40" t="n"/>
      <c r="I177" s="40" t="n"/>
      <c r="J177" s="40" t="n"/>
      <c r="K177" s="40" t="n"/>
      <c r="L177" s="41" t="n"/>
      <c r="M177" s="37" t="n"/>
    </row>
    <row r="178">
      <c r="A178" s="37" t="n"/>
      <c r="B178" s="37" t="n"/>
      <c r="C178" s="37" t="n"/>
      <c r="D178" s="37" t="n"/>
      <c r="E178" s="38" t="n"/>
      <c r="F178" s="39" t="n"/>
      <c r="G178" s="37" t="n"/>
      <c r="H178" s="40" t="n"/>
      <c r="I178" s="40" t="n"/>
      <c r="J178" s="40" t="n"/>
      <c r="K178" s="40" t="n"/>
      <c r="L178" s="41" t="n"/>
      <c r="M178" s="37" t="n"/>
    </row>
    <row r="179">
      <c r="A179" s="37" t="n"/>
      <c r="B179" s="37" t="n"/>
      <c r="C179" s="37" t="n"/>
      <c r="D179" s="37" t="n"/>
      <c r="E179" s="38" t="n"/>
      <c r="F179" s="39" t="n"/>
      <c r="G179" s="37" t="n"/>
      <c r="H179" s="40" t="n"/>
      <c r="I179" s="40" t="n"/>
      <c r="J179" s="40" t="n"/>
      <c r="K179" s="40" t="n"/>
      <c r="L179" s="41" t="n"/>
      <c r="M179" s="37" t="n"/>
    </row>
    <row r="180">
      <c r="A180" s="37" t="n"/>
      <c r="B180" s="37" t="n"/>
      <c r="C180" s="37" t="n"/>
      <c r="D180" s="37" t="n"/>
      <c r="E180" s="38" t="n"/>
      <c r="F180" s="39" t="n"/>
      <c r="G180" s="37" t="n"/>
      <c r="H180" s="40" t="n"/>
      <c r="I180" s="40" t="n"/>
      <c r="J180" s="40" t="n"/>
      <c r="K180" s="40" t="n"/>
      <c r="L180" s="41" t="n"/>
      <c r="M180" s="37" t="n"/>
    </row>
    <row r="181">
      <c r="A181" s="37" t="n"/>
      <c r="B181" s="37" t="n"/>
      <c r="C181" s="37" t="n"/>
      <c r="D181" s="37" t="n"/>
      <c r="E181" s="38" t="n"/>
      <c r="F181" s="39" t="n"/>
      <c r="G181" s="37" t="n"/>
      <c r="H181" s="40" t="n"/>
      <c r="I181" s="40" t="n"/>
      <c r="J181" s="40" t="n"/>
      <c r="K181" s="40" t="n"/>
      <c r="L181" s="41" t="n"/>
      <c r="M181" s="37" t="n"/>
    </row>
    <row r="182">
      <c r="A182" s="37" t="n"/>
      <c r="B182" s="37" t="n"/>
      <c r="C182" s="37" t="n"/>
      <c r="D182" s="37" t="n"/>
      <c r="E182" s="38" t="n"/>
      <c r="F182" s="39" t="n"/>
      <c r="G182" s="37" t="n"/>
      <c r="H182" s="40" t="n"/>
      <c r="I182" s="40" t="n"/>
      <c r="J182" s="40" t="n"/>
      <c r="K182" s="40" t="n"/>
      <c r="L182" s="41" t="n"/>
      <c r="M182" s="37" t="n"/>
    </row>
    <row r="183">
      <c r="A183" s="37" t="n"/>
      <c r="B183" s="37" t="n"/>
      <c r="C183" s="37" t="n"/>
      <c r="D183" s="37" t="n"/>
      <c r="E183" s="38" t="n"/>
      <c r="F183" s="39" t="n"/>
      <c r="G183" s="37" t="n"/>
      <c r="H183" s="40" t="n"/>
      <c r="I183" s="40" t="n"/>
      <c r="J183" s="40" t="n"/>
      <c r="K183" s="40" t="n"/>
      <c r="L183" s="41" t="n"/>
      <c r="M183" s="37" t="n"/>
    </row>
    <row r="184">
      <c r="A184" s="37" t="n"/>
      <c r="B184" s="37" t="n"/>
      <c r="C184" s="37" t="n"/>
      <c r="D184" s="37" t="n"/>
      <c r="E184" s="38" t="n"/>
      <c r="F184" s="39" t="n"/>
      <c r="G184" s="37" t="n"/>
      <c r="H184" s="40" t="n"/>
      <c r="I184" s="40" t="n"/>
      <c r="J184" s="40" t="n"/>
      <c r="K184" s="40" t="n"/>
      <c r="L184" s="41" t="n"/>
      <c r="M184" s="37" t="n"/>
    </row>
    <row r="185">
      <c r="A185" s="37" t="n"/>
      <c r="B185" s="37" t="n"/>
      <c r="C185" s="37" t="n"/>
      <c r="D185" s="37" t="n"/>
      <c r="E185" s="38" t="n"/>
      <c r="F185" s="39" t="n"/>
      <c r="G185" s="37" t="n"/>
      <c r="H185" s="40" t="n"/>
      <c r="I185" s="40" t="n"/>
      <c r="J185" s="40" t="n"/>
      <c r="K185" s="40" t="n"/>
      <c r="L185" s="41" t="n"/>
      <c r="M185" s="37" t="n"/>
    </row>
    <row r="186">
      <c r="A186" s="37" t="n"/>
      <c r="B186" s="37" t="n"/>
      <c r="C186" s="37" t="n"/>
      <c r="D186" s="37" t="n"/>
      <c r="E186" s="38" t="n"/>
      <c r="F186" s="39" t="n"/>
      <c r="G186" s="37" t="n"/>
      <c r="H186" s="40" t="n"/>
      <c r="I186" s="40" t="n"/>
      <c r="J186" s="40" t="n"/>
      <c r="K186" s="40" t="n"/>
      <c r="L186" s="41" t="n"/>
      <c r="M186" s="37" t="n"/>
    </row>
    <row r="187">
      <c r="A187" s="37" t="n"/>
      <c r="B187" s="37" t="n"/>
      <c r="C187" s="37" t="n"/>
      <c r="D187" s="37" t="n"/>
      <c r="E187" s="38" t="n"/>
      <c r="F187" s="39" t="n"/>
      <c r="G187" s="37" t="n"/>
      <c r="H187" s="40" t="n"/>
      <c r="I187" s="40" t="n"/>
      <c r="J187" s="40" t="n"/>
      <c r="K187" s="40" t="n"/>
      <c r="L187" s="41" t="n"/>
      <c r="M187" s="37" t="n"/>
    </row>
    <row r="188">
      <c r="A188" s="37" t="n"/>
      <c r="B188" s="37" t="n"/>
      <c r="C188" s="37" t="n"/>
      <c r="D188" s="37" t="n"/>
      <c r="E188" s="38" t="n"/>
      <c r="F188" s="39" t="n"/>
      <c r="G188" s="37" t="n"/>
      <c r="H188" s="40" t="n"/>
      <c r="I188" s="40" t="n"/>
      <c r="J188" s="40" t="n"/>
      <c r="K188" s="40" t="n"/>
      <c r="L188" s="41" t="n"/>
      <c r="M188" s="37" t="n"/>
    </row>
    <row r="189">
      <c r="A189" s="37" t="n"/>
      <c r="B189" s="37" t="n"/>
      <c r="C189" s="37" t="n"/>
      <c r="D189" s="37" t="n"/>
      <c r="E189" s="38" t="n"/>
      <c r="F189" s="39" t="n"/>
      <c r="G189" s="37" t="n"/>
      <c r="H189" s="40" t="n"/>
      <c r="I189" s="40" t="n"/>
      <c r="J189" s="40" t="n"/>
      <c r="K189" s="40" t="n"/>
      <c r="L189" s="41" t="n"/>
      <c r="M189" s="37" t="n"/>
    </row>
    <row r="190">
      <c r="A190" s="37" t="n"/>
      <c r="B190" s="37" t="n"/>
      <c r="C190" s="37" t="n"/>
      <c r="D190" s="37" t="n"/>
      <c r="E190" s="38" t="n"/>
      <c r="F190" s="39" t="n"/>
      <c r="G190" s="37" t="n"/>
      <c r="H190" s="40" t="n"/>
      <c r="I190" s="40" t="n"/>
      <c r="J190" s="40" t="n"/>
      <c r="K190" s="40" t="n"/>
      <c r="L190" s="41" t="n"/>
      <c r="M190" s="37" t="n"/>
    </row>
    <row r="191">
      <c r="A191" s="37" t="n"/>
      <c r="B191" s="37" t="n"/>
      <c r="C191" s="37" t="n"/>
      <c r="D191" s="37" t="n"/>
      <c r="E191" s="38" t="n"/>
      <c r="F191" s="39" t="n"/>
      <c r="G191" s="37" t="n"/>
      <c r="H191" s="40" t="n"/>
      <c r="I191" s="40" t="n"/>
      <c r="J191" s="40" t="n"/>
      <c r="K191" s="40" t="n"/>
      <c r="L191" s="41" t="n"/>
      <c r="M191" s="37" t="n"/>
    </row>
    <row r="192">
      <c r="A192" s="37" t="n"/>
      <c r="B192" s="37" t="n"/>
      <c r="C192" s="37" t="n"/>
      <c r="D192" s="37" t="n"/>
      <c r="E192" s="38" t="n"/>
      <c r="F192" s="39" t="n"/>
      <c r="G192" s="37" t="n"/>
      <c r="H192" s="40" t="n"/>
      <c r="I192" s="40" t="n"/>
      <c r="J192" s="40" t="n"/>
      <c r="K192" s="40" t="n"/>
      <c r="L192" s="41" t="n"/>
      <c r="M192" s="37" t="n"/>
    </row>
    <row r="193">
      <c r="A193" s="37" t="n"/>
      <c r="B193" s="37" t="n"/>
      <c r="C193" s="37" t="n"/>
      <c r="D193" s="37" t="n"/>
      <c r="E193" s="38" t="n"/>
      <c r="F193" s="39" t="n"/>
      <c r="G193" s="37" t="n"/>
      <c r="H193" s="40" t="n"/>
      <c r="I193" s="40" t="n"/>
      <c r="J193" s="40" t="n"/>
      <c r="K193" s="40" t="n"/>
      <c r="L193" s="41" t="n"/>
      <c r="M193" s="37" t="n"/>
    </row>
    <row r="194">
      <c r="A194" s="37" t="n"/>
      <c r="B194" s="37" t="n"/>
      <c r="C194" s="37" t="n"/>
      <c r="D194" s="37" t="n"/>
      <c r="E194" s="38" t="n"/>
      <c r="F194" s="39" t="n"/>
      <c r="G194" s="37" t="n"/>
      <c r="H194" s="40" t="n"/>
      <c r="I194" s="40" t="n"/>
      <c r="J194" s="40" t="n"/>
      <c r="K194" s="40" t="n"/>
      <c r="L194" s="41" t="n"/>
      <c r="M194" s="37" t="n"/>
    </row>
    <row r="195">
      <c r="A195" s="37" t="n"/>
      <c r="B195" s="37" t="n"/>
      <c r="C195" s="37" t="n"/>
      <c r="D195" s="37" t="n"/>
      <c r="E195" s="38" t="n"/>
      <c r="F195" s="39" t="n"/>
      <c r="G195" s="37" t="n"/>
      <c r="H195" s="40" t="n"/>
      <c r="I195" s="40" t="n"/>
      <c r="J195" s="40" t="n"/>
      <c r="K195" s="40" t="n"/>
      <c r="L195" s="41" t="n"/>
      <c r="M195" s="37" t="n"/>
    </row>
    <row r="196">
      <c r="A196" s="37" t="n"/>
      <c r="B196" s="37" t="n"/>
      <c r="C196" s="37" t="n"/>
      <c r="D196" s="37" t="n"/>
      <c r="E196" s="38" t="n"/>
      <c r="F196" s="39" t="n"/>
      <c r="G196" s="37" t="n"/>
      <c r="H196" s="40" t="n"/>
      <c r="I196" s="40" t="n"/>
      <c r="J196" s="40" t="n"/>
      <c r="K196" s="40" t="n"/>
      <c r="L196" s="41" t="n"/>
      <c r="M196" s="37" t="n"/>
    </row>
    <row r="197">
      <c r="A197" s="37" t="n"/>
      <c r="B197" s="37" t="n"/>
      <c r="C197" s="37" t="n"/>
      <c r="D197" s="37" t="n"/>
      <c r="E197" s="38" t="n"/>
      <c r="F197" s="39" t="n"/>
      <c r="G197" s="37" t="n"/>
      <c r="H197" s="40" t="n"/>
      <c r="I197" s="40" t="n"/>
      <c r="J197" s="40" t="n"/>
      <c r="K197" s="40" t="n"/>
      <c r="L197" s="41" t="n"/>
      <c r="M197" s="37" t="n"/>
    </row>
    <row r="198">
      <c r="A198" s="37" t="n"/>
      <c r="B198" s="37" t="n"/>
      <c r="C198" s="37" t="n"/>
      <c r="D198" s="37" t="n"/>
      <c r="E198" s="38" t="n"/>
      <c r="F198" s="39" t="n"/>
      <c r="G198" s="37" t="n"/>
      <c r="H198" s="40" t="n"/>
      <c r="I198" s="40" t="n"/>
      <c r="J198" s="40" t="n"/>
      <c r="K198" s="40" t="n"/>
      <c r="L198" s="41" t="n"/>
      <c r="M198" s="37" t="n"/>
    </row>
    <row r="199">
      <c r="A199" s="37" t="n"/>
      <c r="B199" s="37" t="n"/>
      <c r="C199" s="37" t="n"/>
      <c r="D199" s="37" t="n"/>
      <c r="E199" s="38" t="n"/>
      <c r="F199" s="39" t="n"/>
      <c r="G199" s="37" t="n"/>
      <c r="H199" s="40" t="n"/>
      <c r="I199" s="40" t="n"/>
      <c r="J199" s="40" t="n"/>
      <c r="K199" s="40" t="n"/>
      <c r="L199" s="41" t="n"/>
      <c r="M199" s="37" t="n"/>
    </row>
    <row r="200">
      <c r="A200" s="37" t="n"/>
      <c r="B200" s="37" t="n"/>
      <c r="C200" s="37" t="n"/>
      <c r="D200" s="37" t="n"/>
      <c r="E200" s="38" t="n"/>
      <c r="F200" s="39" t="n"/>
      <c r="G200" s="37" t="n"/>
      <c r="H200" s="40" t="n"/>
      <c r="I200" s="40" t="n"/>
      <c r="J200" s="40" t="n"/>
      <c r="K200" s="40" t="n"/>
      <c r="L200" s="41" t="n"/>
      <c r="M200" s="37" t="n"/>
    </row>
    <row r="201">
      <c r="A201" s="37" t="n"/>
      <c r="B201" s="37" t="n"/>
      <c r="C201" s="37" t="n"/>
      <c r="D201" s="37" t="n"/>
      <c r="E201" s="38" t="n"/>
      <c r="F201" s="39" t="n"/>
      <c r="G201" s="37" t="n"/>
      <c r="H201" s="40" t="n"/>
      <c r="I201" s="40" t="n"/>
      <c r="J201" s="40" t="n"/>
      <c r="K201" s="40" t="n"/>
      <c r="L201" s="41" t="n"/>
      <c r="M201" s="37" t="n"/>
    </row>
    <row r="202">
      <c r="A202" s="37" t="n"/>
      <c r="B202" s="37" t="n"/>
      <c r="C202" s="37" t="n"/>
      <c r="D202" s="37" t="n"/>
      <c r="E202" s="38" t="n"/>
      <c r="F202" s="39" t="n"/>
      <c r="G202" s="37" t="n"/>
      <c r="H202" s="40" t="n"/>
      <c r="I202" s="40" t="n"/>
      <c r="J202" s="40" t="n"/>
      <c r="K202" s="40" t="n"/>
      <c r="L202" s="41" t="n"/>
      <c r="M202" s="37" t="n"/>
    </row>
    <row r="203">
      <c r="A203" s="37" t="n"/>
      <c r="B203" s="37" t="n"/>
      <c r="C203" s="37" t="n"/>
      <c r="D203" s="37" t="n"/>
      <c r="E203" s="38" t="n"/>
      <c r="F203" s="39" t="n"/>
      <c r="G203" s="37" t="n"/>
      <c r="H203" s="40" t="n"/>
      <c r="I203" s="40" t="n"/>
      <c r="J203" s="40" t="n"/>
      <c r="K203" s="40" t="n"/>
      <c r="L203" s="41" t="n"/>
      <c r="M203" s="37" t="n"/>
    </row>
  </sheetData>
  <mergeCells count="2">
    <mergeCell ref="A2:M2"/>
    <mergeCell ref="A1:M1"/>
  </mergeCells>
  <conditionalFormatting sqref="I4:I203">
    <cfRule type="cellIs" priority="1" operator="equal" dxfId="0" stopIfTrue="1">
      <formula>"禁售"</formula>
    </cfRule>
    <cfRule type="cellIs" priority="2" operator="equal" dxfId="1" stopIfTrue="1">
      <formula>"需资质"</formula>
    </cfRule>
  </conditionalFormatting>
  <dataValidations count="5">
    <dataValidation sqref="H4:H203" showDropDown="0" showInputMessage="0" showErrorMessage="0" allowBlank="1" type="list">
      <formula1>"是,否,NA"</formula1>
    </dataValidation>
    <dataValidation sqref="I4:I203" showDropDown="0" showInputMessage="0" showErrorMessage="0" allowBlank="1" type="list">
      <formula1>"通过,需资质,禁售"</formula1>
    </dataValidation>
    <dataValidation sqref="J4:J203" showDropDown="0" showInputMessage="0" showErrorMessage="0" allowBlank="1" type="list">
      <formula1>"基础,微创新,趋势"</formula1>
    </dataValidation>
    <dataValidation sqref="K4:K203" showDropDown="0" showInputMessage="0" showErrorMessage="0" allowBlank="1" type="list">
      <formula1>"候选,待上架,在售,淘汰"</formula1>
    </dataValidation>
    <dataValidation sqref="E4:F203" showDropDown="0" showInputMessage="0" showErrorMessage="0" allowBlank="1" errorTitle="非负校验" error="请输入 ≥0 的数字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1" customWidth="1" min="3" max="3"/>
    <col width="10" customWidth="1" min="4" max="4"/>
    <col width="11" customWidth="1" min="5" max="5"/>
    <col width="11" customWidth="1" min="6" max="6"/>
    <col width="13" customWidth="1" min="7" max="7"/>
    <col width="15" customWidth="1" min="8" max="8"/>
    <col width="14" customWidth="1" min="9" max="9"/>
    <col width="13" customWidth="1" min="10" max="10"/>
    <col width="15" customWidth="1" min="11" max="11"/>
    <col width="15" customWidth="1" min="12" max="12"/>
    <col width="12" customWidth="1" min="13" max="13"/>
    <col width="11" customWidth="1" min="14" max="14"/>
    <col width="7" customWidth="1" min="15" max="15"/>
    <col width="20" customWidth="1" min="16" max="16"/>
  </cols>
  <sheetData>
    <row r="1" ht="26" customHeight="1">
      <c r="A1" s="1" t="inlineStr">
        <is>
          <t>选品打分 · 7 维度加权排序（200 行）</t>
        </is>
      </c>
    </row>
    <row r="2" ht="34" customHeight="1">
      <c r="A2" s="2" t="inlineStr">
        <is>
          <t>打分 1–5（5最好）。权重第 3 行可调、合计应=100%。降序排名前 Top N→优先上架。一票否决(禁售/需资质/IP/球队logo)直接淘汰、不进利润表。编号从下拉选。</t>
        </is>
      </c>
    </row>
    <row r="3">
      <c r="F3" s="42" t="inlineStr">
        <is>
          <t>权重(可调)→</t>
        </is>
      </c>
      <c r="G3" s="43" t="n">
        <v>0.2</v>
      </c>
      <c r="H3" s="43" t="n">
        <v>0.2</v>
      </c>
      <c r="I3" s="43" t="n">
        <v>0.15</v>
      </c>
      <c r="J3" s="43" t="n">
        <v>0.15</v>
      </c>
      <c r="K3" s="43" t="n">
        <v>0.1</v>
      </c>
      <c r="L3" s="43" t="n">
        <v>0.1</v>
      </c>
      <c r="M3" s="43" t="n">
        <v>0.1</v>
      </c>
      <c r="N3" s="44">
        <f>SUM(G3:M3)</f>
        <v/>
      </c>
    </row>
    <row r="4" ht="40" customHeight="1">
      <c r="A4" s="26" t="inlineStr">
        <is>
          <t>编号</t>
        </is>
      </c>
      <c r="B4" s="26" t="inlineStr">
        <is>
          <t>品名</t>
        </is>
      </c>
      <c r="C4" s="26" t="inlineStr">
        <is>
          <t>禁限售</t>
        </is>
      </c>
      <c r="D4" s="26" t="inlineStr">
        <is>
          <t>IP无授权</t>
        </is>
      </c>
      <c r="E4" s="26" t="inlineStr">
        <is>
          <t>带球队logo</t>
        </is>
      </c>
      <c r="F4" s="26" t="inlineStr">
        <is>
          <t>一票否决</t>
        </is>
      </c>
      <c r="G4" s="26" t="inlineStr">
        <is>
          <t>客单价/利润空间</t>
        </is>
      </c>
      <c r="H4" s="26" t="inlineStr">
        <is>
          <t>扛运费能力(轻小件优先)</t>
        </is>
      </c>
      <c r="I4" s="26" t="inlineStr">
        <is>
          <t>需求热度(数据罗盘)</t>
        </is>
      </c>
      <c r="J4" s="26" t="inlineStr">
        <is>
          <t>竞争度(蓝海高分)</t>
        </is>
      </c>
      <c r="K4" s="26" t="inlineStr">
        <is>
          <t>退货风险(低风险高分)</t>
        </is>
      </c>
      <c r="L4" s="26" t="inlineStr">
        <is>
          <t>趋势/季节契合(斋月等)</t>
        </is>
      </c>
      <c r="M4" s="26" t="inlineStr">
        <is>
          <t>清真合规契合</t>
        </is>
      </c>
      <c r="N4" s="26" t="inlineStr">
        <is>
          <t>加权总分</t>
        </is>
      </c>
      <c r="O4" s="26" t="inlineStr">
        <is>
          <t>排名</t>
        </is>
      </c>
      <c r="P4" s="26" t="inlineStr">
        <is>
          <t>建议</t>
        </is>
      </c>
    </row>
    <row r="5">
      <c r="A5" s="45" t="inlineStr">
        <is>
          <t>TKMY-001</t>
        </is>
      </c>
      <c r="B5" s="46">
        <f>IFERROR(VLOOKUP($A5,'SKU主表'!$A:$M,2,0),"")</f>
        <v/>
      </c>
      <c r="C5" s="47">
        <f>IFERROR(VLOOKUP($A5,'SKU主表'!$A:$M,9,0),"")</f>
        <v/>
      </c>
      <c r="D5" s="45" t="inlineStr">
        <is>
          <t>否</t>
        </is>
      </c>
      <c r="E5" s="45" t="inlineStr">
        <is>
          <t>否</t>
        </is>
      </c>
      <c r="F5" s="48">
        <f>IF($A5="","",IF(OR($C5="禁售",$C5="需资质",$D5="是",$E5="是"),"是","否"))</f>
        <v/>
      </c>
      <c r="G5" s="49" t="n">
        <v>3</v>
      </c>
      <c r="H5" s="49" t="n">
        <v>5</v>
      </c>
      <c r="I5" s="49" t="n">
        <v>4</v>
      </c>
      <c r="J5" s="49" t="n">
        <v>3</v>
      </c>
      <c r="K5" s="49" t="n">
        <v>4</v>
      </c>
      <c r="L5" s="49" t="n">
        <v>5</v>
      </c>
      <c r="M5" s="49" t="n">
        <v>5</v>
      </c>
      <c r="N5" s="50">
        <f>IF($A5="","",IF($F5="是",0,SUMPRODUCT($G5:$M5,$G$3:$M$3)))</f>
        <v/>
      </c>
      <c r="O5" s="51">
        <f>IF(OR($A5="",$N5=""),"",RANK($N5,$N$5:$N$204,0))</f>
        <v/>
      </c>
      <c r="P5" s="37">
        <f>IF($A5="","",IF($F5="是","⛔淘汰(一票否决)",IF($O5&lt;='参数配置'!$B$12,"⭐优先上架Top N",IF($N5&gt;='参数配置'!$B$13,"观察跟进","暂缓/优化后再评"))))</f>
        <v/>
      </c>
    </row>
    <row r="6">
      <c r="A6" s="45" t="inlineStr">
        <is>
          <t>TKMY-002</t>
        </is>
      </c>
      <c r="B6" s="46">
        <f>IFERROR(VLOOKUP($A6,'SKU主表'!$A:$M,2,0),"")</f>
        <v/>
      </c>
      <c r="C6" s="47">
        <f>IFERROR(VLOOKUP($A6,'SKU主表'!$A:$M,9,0),"")</f>
        <v/>
      </c>
      <c r="D6" s="45" t="inlineStr">
        <is>
          <t>否</t>
        </is>
      </c>
      <c r="E6" s="45" t="inlineStr">
        <is>
          <t>否</t>
        </is>
      </c>
      <c r="F6" s="48">
        <f>IF($A6="","",IF(OR($C6="禁售",$C6="需资质",$D6="是",$E6="是"),"是","否"))</f>
        <v/>
      </c>
      <c r="G6" s="49" t="n">
        <v>3</v>
      </c>
      <c r="H6" s="49" t="n">
        <v>4</v>
      </c>
      <c r="I6" s="49" t="n">
        <v>4</v>
      </c>
      <c r="J6" s="49" t="n">
        <v>4</v>
      </c>
      <c r="K6" s="49" t="n">
        <v>4</v>
      </c>
      <c r="L6" s="49" t="n">
        <v>4</v>
      </c>
      <c r="M6" s="49" t="n">
        <v>3</v>
      </c>
      <c r="N6" s="50">
        <f>IF($A6="","",IF($F6="是",0,SUMPRODUCT($G6:$M6,$G$3:$M$3)))</f>
        <v/>
      </c>
      <c r="O6" s="51">
        <f>IF(OR($A6="",$N6=""),"",RANK($N6,$N$5:$N$204,0))</f>
        <v/>
      </c>
      <c r="P6" s="37">
        <f>IF($A6="","",IF($F6="是","⛔淘汰(一票否决)",IF($O6&lt;='参数配置'!$B$12,"⭐优先上架Top N",IF($N6&gt;='参数配置'!$B$13,"观察跟进","暂缓/优化后再评"))))</f>
        <v/>
      </c>
    </row>
    <row r="7">
      <c r="A7" s="45" t="inlineStr">
        <is>
          <t>TKMY-003</t>
        </is>
      </c>
      <c r="B7" s="46">
        <f>IFERROR(VLOOKUP($A7,'SKU主表'!$A:$M,2,0),"")</f>
        <v/>
      </c>
      <c r="C7" s="47">
        <f>IFERROR(VLOOKUP($A7,'SKU主表'!$A:$M,9,0),"")</f>
        <v/>
      </c>
      <c r="D7" s="45" t="inlineStr">
        <is>
          <t>否</t>
        </is>
      </c>
      <c r="E7" s="45" t="inlineStr">
        <is>
          <t>否</t>
        </is>
      </c>
      <c r="F7" s="48">
        <f>IF($A7="","",IF(OR($C7="禁售",$C7="需资质",$D7="是",$E7="是"),"是","否"))</f>
        <v/>
      </c>
      <c r="G7" s="49" t="n"/>
      <c r="H7" s="49" t="n"/>
      <c r="I7" s="49" t="n"/>
      <c r="J7" s="49" t="n"/>
      <c r="K7" s="49" t="n"/>
      <c r="L7" s="49" t="n"/>
      <c r="M7" s="49" t="n"/>
      <c r="N7" s="50">
        <f>IF($A7="","",IF($F7="是",0,SUMPRODUCT($G7:$M7,$G$3:$M$3)))</f>
        <v/>
      </c>
      <c r="O7" s="51">
        <f>IF(OR($A7="",$N7=""),"",RANK($N7,$N$5:$N$204,0))</f>
        <v/>
      </c>
      <c r="P7" s="37">
        <f>IF($A7="","",IF($F7="是","⛔淘汰(一票否决)",IF($O7&lt;='参数配置'!$B$12,"⭐优先上架Top N",IF($N7&gt;='参数配置'!$B$13,"观察跟进","暂缓/优化后再评"))))</f>
        <v/>
      </c>
    </row>
    <row r="8">
      <c r="A8" s="45" t="inlineStr">
        <is>
          <t>TKMY-004</t>
        </is>
      </c>
      <c r="B8" s="46">
        <f>IFERROR(VLOOKUP($A8,'SKU主表'!$A:$M,2,0),"")</f>
        <v/>
      </c>
      <c r="C8" s="47">
        <f>IFERROR(VLOOKUP($A8,'SKU主表'!$A:$M,9,0),"")</f>
        <v/>
      </c>
      <c r="D8" s="45" t="inlineStr">
        <is>
          <t>否</t>
        </is>
      </c>
      <c r="E8" s="45" t="inlineStr">
        <is>
          <t>否</t>
        </is>
      </c>
      <c r="F8" s="48">
        <f>IF($A8="","",IF(OR($C8="禁售",$C8="需资质",$D8="是",$E8="是"),"是","否"))</f>
        <v/>
      </c>
      <c r="G8" s="49" t="n"/>
      <c r="H8" s="49" t="n"/>
      <c r="I8" s="49" t="n"/>
      <c r="J8" s="49" t="n"/>
      <c r="K8" s="49" t="n"/>
      <c r="L8" s="49" t="n"/>
      <c r="M8" s="49" t="n"/>
      <c r="N8" s="50">
        <f>IF($A8="","",IF($F8="是",0,SUMPRODUCT($G8:$M8,$G$3:$M$3)))</f>
        <v/>
      </c>
      <c r="O8" s="51">
        <f>IF(OR($A8="",$N8=""),"",RANK($N8,$N$5:$N$204,0))</f>
        <v/>
      </c>
      <c r="P8" s="37">
        <f>IF($A8="","",IF($F8="是","⛔淘汰(一票否决)",IF($O8&lt;='参数配置'!$B$12,"⭐优先上架Top N",IF($N8&gt;='参数配置'!$B$13,"观察跟进","暂缓/优化后再评"))))</f>
        <v/>
      </c>
    </row>
    <row r="9">
      <c r="A9" s="52" t="n"/>
      <c r="B9" s="46">
        <f>IFERROR(VLOOKUP($A9,'SKU主表'!$A:$M,2,0),"")</f>
        <v/>
      </c>
      <c r="C9" s="47">
        <f>IFERROR(VLOOKUP($A9,'SKU主表'!$A:$M,9,0),"")</f>
        <v/>
      </c>
      <c r="D9" s="52" t="n"/>
      <c r="E9" s="52" t="n"/>
      <c r="F9" s="48">
        <f>IF($A9="","",IF(OR($C9="禁售",$C9="需资质",$D9="是",$E9="是"),"是","否"))</f>
        <v/>
      </c>
      <c r="G9" s="53" t="n"/>
      <c r="H9" s="53" t="n"/>
      <c r="I9" s="53" t="n"/>
      <c r="J9" s="53" t="n"/>
      <c r="K9" s="53" t="n"/>
      <c r="L9" s="53" t="n"/>
      <c r="M9" s="53" t="n"/>
      <c r="N9" s="50">
        <f>IF($A9="","",IF($F9="是",0,SUMPRODUCT($G9:$M9,$G$3:$M$3)))</f>
        <v/>
      </c>
      <c r="O9" s="51">
        <f>IF(OR($A9="",$N9=""),"",RANK($N9,$N$5:$N$204,0))</f>
        <v/>
      </c>
      <c r="P9" s="37">
        <f>IF($A9="","",IF($F9="是","⛔淘汰(一票否决)",IF($O9&lt;='参数配置'!$B$12,"⭐优先上架Top N",IF($N9&gt;='参数配置'!$B$13,"观察跟进","暂缓/优化后再评"))))</f>
        <v/>
      </c>
    </row>
    <row r="10">
      <c r="A10" s="52" t="n"/>
      <c r="B10" s="46">
        <f>IFERROR(VLOOKUP($A10,'SKU主表'!$A:$M,2,0),"")</f>
        <v/>
      </c>
      <c r="C10" s="47">
        <f>IFERROR(VLOOKUP($A10,'SKU主表'!$A:$M,9,0),"")</f>
        <v/>
      </c>
      <c r="D10" s="52" t="n"/>
      <c r="E10" s="52" t="n"/>
      <c r="F10" s="48">
        <f>IF($A10="","",IF(OR($C10="禁售",$C10="需资质",$D10="是",$E10="是"),"是","否"))</f>
        <v/>
      </c>
      <c r="G10" s="53" t="n"/>
      <c r="H10" s="53" t="n"/>
      <c r="I10" s="53" t="n"/>
      <c r="J10" s="53" t="n"/>
      <c r="K10" s="53" t="n"/>
      <c r="L10" s="53" t="n"/>
      <c r="M10" s="53" t="n"/>
      <c r="N10" s="50">
        <f>IF($A10="","",IF($F10="是",0,SUMPRODUCT($G10:$M10,$G$3:$M$3)))</f>
        <v/>
      </c>
      <c r="O10" s="51">
        <f>IF(OR($A10="",$N10=""),"",RANK($N10,$N$5:$N$204,0))</f>
        <v/>
      </c>
      <c r="P10" s="37">
        <f>IF($A10="","",IF($F10="是","⛔淘汰(一票否决)",IF($O10&lt;='参数配置'!$B$12,"⭐优先上架Top N",IF($N10&gt;='参数配置'!$B$13,"观察跟进","暂缓/优化后再评"))))</f>
        <v/>
      </c>
    </row>
    <row r="11">
      <c r="A11" s="52" t="n"/>
      <c r="B11" s="46">
        <f>IFERROR(VLOOKUP($A11,'SKU主表'!$A:$M,2,0),"")</f>
        <v/>
      </c>
      <c r="C11" s="47">
        <f>IFERROR(VLOOKUP($A11,'SKU主表'!$A:$M,9,0),"")</f>
        <v/>
      </c>
      <c r="D11" s="52" t="n"/>
      <c r="E11" s="52" t="n"/>
      <c r="F11" s="48">
        <f>IF($A11="","",IF(OR($C11="禁售",$C11="需资质",$D11="是",$E11="是"),"是","否"))</f>
        <v/>
      </c>
      <c r="G11" s="53" t="n"/>
      <c r="H11" s="53" t="n"/>
      <c r="I11" s="53" t="n"/>
      <c r="J11" s="53" t="n"/>
      <c r="K11" s="53" t="n"/>
      <c r="L11" s="53" t="n"/>
      <c r="M11" s="53" t="n"/>
      <c r="N11" s="50">
        <f>IF($A11="","",IF($F11="是",0,SUMPRODUCT($G11:$M11,$G$3:$M$3)))</f>
        <v/>
      </c>
      <c r="O11" s="51">
        <f>IF(OR($A11="",$N11=""),"",RANK($N11,$N$5:$N$204,0))</f>
        <v/>
      </c>
      <c r="P11" s="37">
        <f>IF($A11="","",IF($F11="是","⛔淘汰(一票否决)",IF($O11&lt;='参数配置'!$B$12,"⭐优先上架Top N",IF($N11&gt;='参数配置'!$B$13,"观察跟进","暂缓/优化后再评"))))</f>
        <v/>
      </c>
    </row>
    <row r="12">
      <c r="A12" s="52" t="n"/>
      <c r="B12" s="46">
        <f>IFERROR(VLOOKUP($A12,'SKU主表'!$A:$M,2,0),"")</f>
        <v/>
      </c>
      <c r="C12" s="47">
        <f>IFERROR(VLOOKUP($A12,'SKU主表'!$A:$M,9,0),"")</f>
        <v/>
      </c>
      <c r="D12" s="52" t="n"/>
      <c r="E12" s="52" t="n"/>
      <c r="F12" s="48">
        <f>IF($A12="","",IF(OR($C12="禁售",$C12="需资质",$D12="是",$E12="是"),"是","否"))</f>
        <v/>
      </c>
      <c r="G12" s="53" t="n"/>
      <c r="H12" s="53" t="n"/>
      <c r="I12" s="53" t="n"/>
      <c r="J12" s="53" t="n"/>
      <c r="K12" s="53" t="n"/>
      <c r="L12" s="53" t="n"/>
      <c r="M12" s="53" t="n"/>
      <c r="N12" s="50">
        <f>IF($A12="","",IF($F12="是",0,SUMPRODUCT($G12:$M12,$G$3:$M$3)))</f>
        <v/>
      </c>
      <c r="O12" s="51">
        <f>IF(OR($A12="",$N12=""),"",RANK($N12,$N$5:$N$204,0))</f>
        <v/>
      </c>
      <c r="P12" s="37">
        <f>IF($A12="","",IF($F12="是","⛔淘汰(一票否决)",IF($O12&lt;='参数配置'!$B$12,"⭐优先上架Top N",IF($N12&gt;='参数配置'!$B$13,"观察跟进","暂缓/优化后再评"))))</f>
        <v/>
      </c>
    </row>
    <row r="13">
      <c r="A13" s="52" t="n"/>
      <c r="B13" s="46">
        <f>IFERROR(VLOOKUP($A13,'SKU主表'!$A:$M,2,0),"")</f>
        <v/>
      </c>
      <c r="C13" s="47">
        <f>IFERROR(VLOOKUP($A13,'SKU主表'!$A:$M,9,0),"")</f>
        <v/>
      </c>
      <c r="D13" s="52" t="n"/>
      <c r="E13" s="52" t="n"/>
      <c r="F13" s="48">
        <f>IF($A13="","",IF(OR($C13="禁售",$C13="需资质",$D13="是",$E13="是"),"是","否"))</f>
        <v/>
      </c>
      <c r="G13" s="53" t="n"/>
      <c r="H13" s="53" t="n"/>
      <c r="I13" s="53" t="n"/>
      <c r="J13" s="53" t="n"/>
      <c r="K13" s="53" t="n"/>
      <c r="L13" s="53" t="n"/>
      <c r="M13" s="53" t="n"/>
      <c r="N13" s="50">
        <f>IF($A13="","",IF($F13="是",0,SUMPRODUCT($G13:$M13,$G$3:$M$3)))</f>
        <v/>
      </c>
      <c r="O13" s="51">
        <f>IF(OR($A13="",$N13=""),"",RANK($N13,$N$5:$N$204,0))</f>
        <v/>
      </c>
      <c r="P13" s="37">
        <f>IF($A13="","",IF($F13="是","⛔淘汰(一票否决)",IF($O13&lt;='参数配置'!$B$12,"⭐优先上架Top N",IF($N13&gt;='参数配置'!$B$13,"观察跟进","暂缓/优化后再评"))))</f>
        <v/>
      </c>
    </row>
    <row r="14">
      <c r="A14" s="52" t="n"/>
      <c r="B14" s="46">
        <f>IFERROR(VLOOKUP($A14,'SKU主表'!$A:$M,2,0),"")</f>
        <v/>
      </c>
      <c r="C14" s="47">
        <f>IFERROR(VLOOKUP($A14,'SKU主表'!$A:$M,9,0),"")</f>
        <v/>
      </c>
      <c r="D14" s="52" t="n"/>
      <c r="E14" s="52" t="n"/>
      <c r="F14" s="48">
        <f>IF($A14="","",IF(OR($C14="禁售",$C14="需资质",$D14="是",$E14="是"),"是","否"))</f>
        <v/>
      </c>
      <c r="G14" s="53" t="n"/>
      <c r="H14" s="53" t="n"/>
      <c r="I14" s="53" t="n"/>
      <c r="J14" s="53" t="n"/>
      <c r="K14" s="53" t="n"/>
      <c r="L14" s="53" t="n"/>
      <c r="M14" s="53" t="n"/>
      <c r="N14" s="50">
        <f>IF($A14="","",IF($F14="是",0,SUMPRODUCT($G14:$M14,$G$3:$M$3)))</f>
        <v/>
      </c>
      <c r="O14" s="51">
        <f>IF(OR($A14="",$N14=""),"",RANK($N14,$N$5:$N$204,0))</f>
        <v/>
      </c>
      <c r="P14" s="37">
        <f>IF($A14="","",IF($F14="是","⛔淘汰(一票否决)",IF($O14&lt;='参数配置'!$B$12,"⭐优先上架Top N",IF($N14&gt;='参数配置'!$B$13,"观察跟进","暂缓/优化后再评"))))</f>
        <v/>
      </c>
    </row>
    <row r="15">
      <c r="A15" s="52" t="n"/>
      <c r="B15" s="46">
        <f>IFERROR(VLOOKUP($A15,'SKU主表'!$A:$M,2,0),"")</f>
        <v/>
      </c>
      <c r="C15" s="47">
        <f>IFERROR(VLOOKUP($A15,'SKU主表'!$A:$M,9,0),"")</f>
        <v/>
      </c>
      <c r="D15" s="52" t="n"/>
      <c r="E15" s="52" t="n"/>
      <c r="F15" s="48">
        <f>IF($A15="","",IF(OR($C15="禁售",$C15="需资质",$D15="是",$E15="是"),"是","否"))</f>
        <v/>
      </c>
      <c r="G15" s="53" t="n"/>
      <c r="H15" s="53" t="n"/>
      <c r="I15" s="53" t="n"/>
      <c r="J15" s="53" t="n"/>
      <c r="K15" s="53" t="n"/>
      <c r="L15" s="53" t="n"/>
      <c r="M15" s="53" t="n"/>
      <c r="N15" s="50">
        <f>IF($A15="","",IF($F15="是",0,SUMPRODUCT($G15:$M15,$G$3:$M$3)))</f>
        <v/>
      </c>
      <c r="O15" s="51">
        <f>IF(OR($A15="",$N15=""),"",RANK($N15,$N$5:$N$204,0))</f>
        <v/>
      </c>
      <c r="P15" s="37">
        <f>IF($A15="","",IF($F15="是","⛔淘汰(一票否决)",IF($O15&lt;='参数配置'!$B$12,"⭐优先上架Top N",IF($N15&gt;='参数配置'!$B$13,"观察跟进","暂缓/优化后再评"))))</f>
        <v/>
      </c>
    </row>
    <row r="16">
      <c r="A16" s="52" t="n"/>
      <c r="B16" s="46">
        <f>IFERROR(VLOOKUP($A16,'SKU主表'!$A:$M,2,0),"")</f>
        <v/>
      </c>
      <c r="C16" s="47">
        <f>IFERROR(VLOOKUP($A16,'SKU主表'!$A:$M,9,0),"")</f>
        <v/>
      </c>
      <c r="D16" s="52" t="n"/>
      <c r="E16" s="52" t="n"/>
      <c r="F16" s="48">
        <f>IF($A16="","",IF(OR($C16="禁售",$C16="需资质",$D16="是",$E16="是"),"是","否"))</f>
        <v/>
      </c>
      <c r="G16" s="53" t="n"/>
      <c r="H16" s="53" t="n"/>
      <c r="I16" s="53" t="n"/>
      <c r="J16" s="53" t="n"/>
      <c r="K16" s="53" t="n"/>
      <c r="L16" s="53" t="n"/>
      <c r="M16" s="53" t="n"/>
      <c r="N16" s="50">
        <f>IF($A16="","",IF($F16="是",0,SUMPRODUCT($G16:$M16,$G$3:$M$3)))</f>
        <v/>
      </c>
      <c r="O16" s="51">
        <f>IF(OR($A16="",$N16=""),"",RANK($N16,$N$5:$N$204,0))</f>
        <v/>
      </c>
      <c r="P16" s="37">
        <f>IF($A16="","",IF($F16="是","⛔淘汰(一票否决)",IF($O16&lt;='参数配置'!$B$12,"⭐优先上架Top N",IF($N16&gt;='参数配置'!$B$13,"观察跟进","暂缓/优化后再评"))))</f>
        <v/>
      </c>
    </row>
    <row r="17">
      <c r="A17" s="52" t="n"/>
      <c r="B17" s="46">
        <f>IFERROR(VLOOKUP($A17,'SKU主表'!$A:$M,2,0),"")</f>
        <v/>
      </c>
      <c r="C17" s="47">
        <f>IFERROR(VLOOKUP($A17,'SKU主表'!$A:$M,9,0),"")</f>
        <v/>
      </c>
      <c r="D17" s="52" t="n"/>
      <c r="E17" s="52" t="n"/>
      <c r="F17" s="48">
        <f>IF($A17="","",IF(OR($C17="禁售",$C17="需资质",$D17="是",$E17="是"),"是","否"))</f>
        <v/>
      </c>
      <c r="G17" s="53" t="n"/>
      <c r="H17" s="53" t="n"/>
      <c r="I17" s="53" t="n"/>
      <c r="J17" s="53" t="n"/>
      <c r="K17" s="53" t="n"/>
      <c r="L17" s="53" t="n"/>
      <c r="M17" s="53" t="n"/>
      <c r="N17" s="50">
        <f>IF($A17="","",IF($F17="是",0,SUMPRODUCT($G17:$M17,$G$3:$M$3)))</f>
        <v/>
      </c>
      <c r="O17" s="51">
        <f>IF(OR($A17="",$N17=""),"",RANK($N17,$N$5:$N$204,0))</f>
        <v/>
      </c>
      <c r="P17" s="37">
        <f>IF($A17="","",IF($F17="是","⛔淘汰(一票否决)",IF($O17&lt;='参数配置'!$B$12,"⭐优先上架Top N",IF($N17&gt;='参数配置'!$B$13,"观察跟进","暂缓/优化后再评"))))</f>
        <v/>
      </c>
    </row>
    <row r="18">
      <c r="A18" s="52" t="n"/>
      <c r="B18" s="46">
        <f>IFERROR(VLOOKUP($A18,'SKU主表'!$A:$M,2,0),"")</f>
        <v/>
      </c>
      <c r="C18" s="47">
        <f>IFERROR(VLOOKUP($A18,'SKU主表'!$A:$M,9,0),"")</f>
        <v/>
      </c>
      <c r="D18" s="52" t="n"/>
      <c r="E18" s="52" t="n"/>
      <c r="F18" s="48">
        <f>IF($A18="","",IF(OR($C18="禁售",$C18="需资质",$D18="是",$E18="是"),"是","否"))</f>
        <v/>
      </c>
      <c r="G18" s="53" t="n"/>
      <c r="H18" s="53" t="n"/>
      <c r="I18" s="53" t="n"/>
      <c r="J18" s="53" t="n"/>
      <c r="K18" s="53" t="n"/>
      <c r="L18" s="53" t="n"/>
      <c r="M18" s="53" t="n"/>
      <c r="N18" s="50">
        <f>IF($A18="","",IF($F18="是",0,SUMPRODUCT($G18:$M18,$G$3:$M$3)))</f>
        <v/>
      </c>
      <c r="O18" s="51">
        <f>IF(OR($A18="",$N18=""),"",RANK($N18,$N$5:$N$204,0))</f>
        <v/>
      </c>
      <c r="P18" s="37">
        <f>IF($A18="","",IF($F18="是","⛔淘汰(一票否决)",IF($O18&lt;='参数配置'!$B$12,"⭐优先上架Top N",IF($N18&gt;='参数配置'!$B$13,"观察跟进","暂缓/优化后再评"))))</f>
        <v/>
      </c>
    </row>
    <row r="19">
      <c r="A19" s="52" t="n"/>
      <c r="B19" s="46">
        <f>IFERROR(VLOOKUP($A19,'SKU主表'!$A:$M,2,0),"")</f>
        <v/>
      </c>
      <c r="C19" s="47">
        <f>IFERROR(VLOOKUP($A19,'SKU主表'!$A:$M,9,0),"")</f>
        <v/>
      </c>
      <c r="D19" s="52" t="n"/>
      <c r="E19" s="52" t="n"/>
      <c r="F19" s="48">
        <f>IF($A19="","",IF(OR($C19="禁售",$C19="需资质",$D19="是",$E19="是"),"是","否"))</f>
        <v/>
      </c>
      <c r="G19" s="53" t="n"/>
      <c r="H19" s="53" t="n"/>
      <c r="I19" s="53" t="n"/>
      <c r="J19" s="53" t="n"/>
      <c r="K19" s="53" t="n"/>
      <c r="L19" s="53" t="n"/>
      <c r="M19" s="53" t="n"/>
      <c r="N19" s="50">
        <f>IF($A19="","",IF($F19="是",0,SUMPRODUCT($G19:$M19,$G$3:$M$3)))</f>
        <v/>
      </c>
      <c r="O19" s="51">
        <f>IF(OR($A19="",$N19=""),"",RANK($N19,$N$5:$N$204,0))</f>
        <v/>
      </c>
      <c r="P19" s="37">
        <f>IF($A19="","",IF($F19="是","⛔淘汰(一票否决)",IF($O19&lt;='参数配置'!$B$12,"⭐优先上架Top N",IF($N19&gt;='参数配置'!$B$13,"观察跟进","暂缓/优化后再评"))))</f>
        <v/>
      </c>
    </row>
    <row r="20">
      <c r="A20" s="52" t="n"/>
      <c r="B20" s="46">
        <f>IFERROR(VLOOKUP($A20,'SKU主表'!$A:$M,2,0),"")</f>
        <v/>
      </c>
      <c r="C20" s="47">
        <f>IFERROR(VLOOKUP($A20,'SKU主表'!$A:$M,9,0),"")</f>
        <v/>
      </c>
      <c r="D20" s="52" t="n"/>
      <c r="E20" s="52" t="n"/>
      <c r="F20" s="48">
        <f>IF($A20="","",IF(OR($C20="禁售",$C20="需资质",$D20="是",$E20="是"),"是","否"))</f>
        <v/>
      </c>
      <c r="G20" s="53" t="n"/>
      <c r="H20" s="53" t="n"/>
      <c r="I20" s="53" t="n"/>
      <c r="J20" s="53" t="n"/>
      <c r="K20" s="53" t="n"/>
      <c r="L20" s="53" t="n"/>
      <c r="M20" s="53" t="n"/>
      <c r="N20" s="50">
        <f>IF($A20="","",IF($F20="是",0,SUMPRODUCT($G20:$M20,$G$3:$M$3)))</f>
        <v/>
      </c>
      <c r="O20" s="51">
        <f>IF(OR($A20="",$N20=""),"",RANK($N20,$N$5:$N$204,0))</f>
        <v/>
      </c>
      <c r="P20" s="37">
        <f>IF($A20="","",IF($F20="是","⛔淘汰(一票否决)",IF($O20&lt;='参数配置'!$B$12,"⭐优先上架Top N",IF($N20&gt;='参数配置'!$B$13,"观察跟进","暂缓/优化后再评"))))</f>
        <v/>
      </c>
    </row>
    <row r="21">
      <c r="A21" s="52" t="n"/>
      <c r="B21" s="46">
        <f>IFERROR(VLOOKUP($A21,'SKU主表'!$A:$M,2,0),"")</f>
        <v/>
      </c>
      <c r="C21" s="47">
        <f>IFERROR(VLOOKUP($A21,'SKU主表'!$A:$M,9,0),"")</f>
        <v/>
      </c>
      <c r="D21" s="52" t="n"/>
      <c r="E21" s="52" t="n"/>
      <c r="F21" s="48">
        <f>IF($A21="","",IF(OR($C21="禁售",$C21="需资质",$D21="是",$E21="是"),"是","否"))</f>
        <v/>
      </c>
      <c r="G21" s="53" t="n"/>
      <c r="H21" s="53" t="n"/>
      <c r="I21" s="53" t="n"/>
      <c r="J21" s="53" t="n"/>
      <c r="K21" s="53" t="n"/>
      <c r="L21" s="53" t="n"/>
      <c r="M21" s="53" t="n"/>
      <c r="N21" s="50">
        <f>IF($A21="","",IF($F21="是",0,SUMPRODUCT($G21:$M21,$G$3:$M$3)))</f>
        <v/>
      </c>
      <c r="O21" s="51">
        <f>IF(OR($A21="",$N21=""),"",RANK($N21,$N$5:$N$204,0))</f>
        <v/>
      </c>
      <c r="P21" s="37">
        <f>IF($A21="","",IF($F21="是","⛔淘汰(一票否决)",IF($O21&lt;='参数配置'!$B$12,"⭐优先上架Top N",IF($N21&gt;='参数配置'!$B$13,"观察跟进","暂缓/优化后再评"))))</f>
        <v/>
      </c>
    </row>
    <row r="22">
      <c r="A22" s="52" t="n"/>
      <c r="B22" s="46">
        <f>IFERROR(VLOOKUP($A22,'SKU主表'!$A:$M,2,0),"")</f>
        <v/>
      </c>
      <c r="C22" s="47">
        <f>IFERROR(VLOOKUP($A22,'SKU主表'!$A:$M,9,0),"")</f>
        <v/>
      </c>
      <c r="D22" s="52" t="n"/>
      <c r="E22" s="52" t="n"/>
      <c r="F22" s="48">
        <f>IF($A22="","",IF(OR($C22="禁售",$C22="需资质",$D22="是",$E22="是"),"是","否"))</f>
        <v/>
      </c>
      <c r="G22" s="53" t="n"/>
      <c r="H22" s="53" t="n"/>
      <c r="I22" s="53" t="n"/>
      <c r="J22" s="53" t="n"/>
      <c r="K22" s="53" t="n"/>
      <c r="L22" s="53" t="n"/>
      <c r="M22" s="53" t="n"/>
      <c r="N22" s="50">
        <f>IF($A22="","",IF($F22="是",0,SUMPRODUCT($G22:$M22,$G$3:$M$3)))</f>
        <v/>
      </c>
      <c r="O22" s="51">
        <f>IF(OR($A22="",$N22=""),"",RANK($N22,$N$5:$N$204,0))</f>
        <v/>
      </c>
      <c r="P22" s="37">
        <f>IF($A22="","",IF($F22="是","⛔淘汰(一票否决)",IF($O22&lt;='参数配置'!$B$12,"⭐优先上架Top N",IF($N22&gt;='参数配置'!$B$13,"观察跟进","暂缓/优化后再评"))))</f>
        <v/>
      </c>
    </row>
    <row r="23">
      <c r="A23" s="52" t="n"/>
      <c r="B23" s="46">
        <f>IFERROR(VLOOKUP($A23,'SKU主表'!$A:$M,2,0),"")</f>
        <v/>
      </c>
      <c r="C23" s="47">
        <f>IFERROR(VLOOKUP($A23,'SKU主表'!$A:$M,9,0),"")</f>
        <v/>
      </c>
      <c r="D23" s="52" t="n"/>
      <c r="E23" s="52" t="n"/>
      <c r="F23" s="48">
        <f>IF($A23="","",IF(OR($C23="禁售",$C23="需资质",$D23="是",$E23="是"),"是","否"))</f>
        <v/>
      </c>
      <c r="G23" s="53" t="n"/>
      <c r="H23" s="53" t="n"/>
      <c r="I23" s="53" t="n"/>
      <c r="J23" s="53" t="n"/>
      <c r="K23" s="53" t="n"/>
      <c r="L23" s="53" t="n"/>
      <c r="M23" s="53" t="n"/>
      <c r="N23" s="50">
        <f>IF($A23="","",IF($F23="是",0,SUMPRODUCT($G23:$M23,$G$3:$M$3)))</f>
        <v/>
      </c>
      <c r="O23" s="51">
        <f>IF(OR($A23="",$N23=""),"",RANK($N23,$N$5:$N$204,0))</f>
        <v/>
      </c>
      <c r="P23" s="37">
        <f>IF($A23="","",IF($F23="是","⛔淘汰(一票否决)",IF($O23&lt;='参数配置'!$B$12,"⭐优先上架Top N",IF($N23&gt;='参数配置'!$B$13,"观察跟进","暂缓/优化后再评"))))</f>
        <v/>
      </c>
    </row>
    <row r="24">
      <c r="A24" s="52" t="n"/>
      <c r="B24" s="46">
        <f>IFERROR(VLOOKUP($A24,'SKU主表'!$A:$M,2,0),"")</f>
        <v/>
      </c>
      <c r="C24" s="47">
        <f>IFERROR(VLOOKUP($A24,'SKU主表'!$A:$M,9,0),"")</f>
        <v/>
      </c>
      <c r="D24" s="52" t="n"/>
      <c r="E24" s="52" t="n"/>
      <c r="F24" s="48">
        <f>IF($A24="","",IF(OR($C24="禁售",$C24="需资质",$D24="是",$E24="是"),"是","否"))</f>
        <v/>
      </c>
      <c r="G24" s="53" t="n"/>
      <c r="H24" s="53" t="n"/>
      <c r="I24" s="53" t="n"/>
      <c r="J24" s="53" t="n"/>
      <c r="K24" s="53" t="n"/>
      <c r="L24" s="53" t="n"/>
      <c r="M24" s="53" t="n"/>
      <c r="N24" s="50">
        <f>IF($A24="","",IF($F24="是",0,SUMPRODUCT($G24:$M24,$G$3:$M$3)))</f>
        <v/>
      </c>
      <c r="O24" s="51">
        <f>IF(OR($A24="",$N24=""),"",RANK($N24,$N$5:$N$204,0))</f>
        <v/>
      </c>
      <c r="P24" s="37">
        <f>IF($A24="","",IF($F24="是","⛔淘汰(一票否决)",IF($O24&lt;='参数配置'!$B$12,"⭐优先上架Top N",IF($N24&gt;='参数配置'!$B$13,"观察跟进","暂缓/优化后再评"))))</f>
        <v/>
      </c>
    </row>
    <row r="25">
      <c r="A25" s="52" t="n"/>
      <c r="B25" s="46">
        <f>IFERROR(VLOOKUP($A25,'SKU主表'!$A:$M,2,0),"")</f>
        <v/>
      </c>
      <c r="C25" s="47">
        <f>IFERROR(VLOOKUP($A25,'SKU主表'!$A:$M,9,0),"")</f>
        <v/>
      </c>
      <c r="D25" s="52" t="n"/>
      <c r="E25" s="52" t="n"/>
      <c r="F25" s="48">
        <f>IF($A25="","",IF(OR($C25="禁售",$C25="需资质",$D25="是",$E25="是"),"是","否"))</f>
        <v/>
      </c>
      <c r="G25" s="53" t="n"/>
      <c r="H25" s="53" t="n"/>
      <c r="I25" s="53" t="n"/>
      <c r="J25" s="53" t="n"/>
      <c r="K25" s="53" t="n"/>
      <c r="L25" s="53" t="n"/>
      <c r="M25" s="53" t="n"/>
      <c r="N25" s="50">
        <f>IF($A25="","",IF($F25="是",0,SUMPRODUCT($G25:$M25,$G$3:$M$3)))</f>
        <v/>
      </c>
      <c r="O25" s="51">
        <f>IF(OR($A25="",$N25=""),"",RANK($N25,$N$5:$N$204,0))</f>
        <v/>
      </c>
      <c r="P25" s="37">
        <f>IF($A25="","",IF($F25="是","⛔淘汰(一票否决)",IF($O25&lt;='参数配置'!$B$12,"⭐优先上架Top N",IF($N25&gt;='参数配置'!$B$13,"观察跟进","暂缓/优化后再评"))))</f>
        <v/>
      </c>
    </row>
    <row r="26">
      <c r="A26" s="52" t="n"/>
      <c r="B26" s="46">
        <f>IFERROR(VLOOKUP($A26,'SKU主表'!$A:$M,2,0),"")</f>
        <v/>
      </c>
      <c r="C26" s="47">
        <f>IFERROR(VLOOKUP($A26,'SKU主表'!$A:$M,9,0),"")</f>
        <v/>
      </c>
      <c r="D26" s="52" t="n"/>
      <c r="E26" s="52" t="n"/>
      <c r="F26" s="48">
        <f>IF($A26="","",IF(OR($C26="禁售",$C26="需资质",$D26="是",$E26="是"),"是","否"))</f>
        <v/>
      </c>
      <c r="G26" s="53" t="n"/>
      <c r="H26" s="53" t="n"/>
      <c r="I26" s="53" t="n"/>
      <c r="J26" s="53" t="n"/>
      <c r="K26" s="53" t="n"/>
      <c r="L26" s="53" t="n"/>
      <c r="M26" s="53" t="n"/>
      <c r="N26" s="50">
        <f>IF($A26="","",IF($F26="是",0,SUMPRODUCT($G26:$M26,$G$3:$M$3)))</f>
        <v/>
      </c>
      <c r="O26" s="51">
        <f>IF(OR($A26="",$N26=""),"",RANK($N26,$N$5:$N$204,0))</f>
        <v/>
      </c>
      <c r="P26" s="37">
        <f>IF($A26="","",IF($F26="是","⛔淘汰(一票否决)",IF($O26&lt;='参数配置'!$B$12,"⭐优先上架Top N",IF($N26&gt;='参数配置'!$B$13,"观察跟进","暂缓/优化后再评"))))</f>
        <v/>
      </c>
    </row>
    <row r="27">
      <c r="A27" s="52" t="n"/>
      <c r="B27" s="46">
        <f>IFERROR(VLOOKUP($A27,'SKU主表'!$A:$M,2,0),"")</f>
        <v/>
      </c>
      <c r="C27" s="47">
        <f>IFERROR(VLOOKUP($A27,'SKU主表'!$A:$M,9,0),"")</f>
        <v/>
      </c>
      <c r="D27" s="52" t="n"/>
      <c r="E27" s="52" t="n"/>
      <c r="F27" s="48">
        <f>IF($A27="","",IF(OR($C27="禁售",$C27="需资质",$D27="是",$E27="是"),"是","否"))</f>
        <v/>
      </c>
      <c r="G27" s="53" t="n"/>
      <c r="H27" s="53" t="n"/>
      <c r="I27" s="53" t="n"/>
      <c r="J27" s="53" t="n"/>
      <c r="K27" s="53" t="n"/>
      <c r="L27" s="53" t="n"/>
      <c r="M27" s="53" t="n"/>
      <c r="N27" s="50">
        <f>IF($A27="","",IF($F27="是",0,SUMPRODUCT($G27:$M27,$G$3:$M$3)))</f>
        <v/>
      </c>
      <c r="O27" s="51">
        <f>IF(OR($A27="",$N27=""),"",RANK($N27,$N$5:$N$204,0))</f>
        <v/>
      </c>
      <c r="P27" s="37">
        <f>IF($A27="","",IF($F27="是","⛔淘汰(一票否决)",IF($O27&lt;='参数配置'!$B$12,"⭐优先上架Top N",IF($N27&gt;='参数配置'!$B$13,"观察跟进","暂缓/优化后再评"))))</f>
        <v/>
      </c>
    </row>
    <row r="28">
      <c r="A28" s="52" t="n"/>
      <c r="B28" s="46">
        <f>IFERROR(VLOOKUP($A28,'SKU主表'!$A:$M,2,0),"")</f>
        <v/>
      </c>
      <c r="C28" s="47">
        <f>IFERROR(VLOOKUP($A28,'SKU主表'!$A:$M,9,0),"")</f>
        <v/>
      </c>
      <c r="D28" s="52" t="n"/>
      <c r="E28" s="52" t="n"/>
      <c r="F28" s="48">
        <f>IF($A28="","",IF(OR($C28="禁售",$C28="需资质",$D28="是",$E28="是"),"是","否"))</f>
        <v/>
      </c>
      <c r="G28" s="53" t="n"/>
      <c r="H28" s="53" t="n"/>
      <c r="I28" s="53" t="n"/>
      <c r="J28" s="53" t="n"/>
      <c r="K28" s="53" t="n"/>
      <c r="L28" s="53" t="n"/>
      <c r="M28" s="53" t="n"/>
      <c r="N28" s="50">
        <f>IF($A28="","",IF($F28="是",0,SUMPRODUCT($G28:$M28,$G$3:$M$3)))</f>
        <v/>
      </c>
      <c r="O28" s="51">
        <f>IF(OR($A28="",$N28=""),"",RANK($N28,$N$5:$N$204,0))</f>
        <v/>
      </c>
      <c r="P28" s="37">
        <f>IF($A28="","",IF($F28="是","⛔淘汰(一票否决)",IF($O28&lt;='参数配置'!$B$12,"⭐优先上架Top N",IF($N28&gt;='参数配置'!$B$13,"观察跟进","暂缓/优化后再评"))))</f>
        <v/>
      </c>
    </row>
    <row r="29">
      <c r="A29" s="52" t="n"/>
      <c r="B29" s="46">
        <f>IFERROR(VLOOKUP($A29,'SKU主表'!$A:$M,2,0),"")</f>
        <v/>
      </c>
      <c r="C29" s="47">
        <f>IFERROR(VLOOKUP($A29,'SKU主表'!$A:$M,9,0),"")</f>
        <v/>
      </c>
      <c r="D29" s="52" t="n"/>
      <c r="E29" s="52" t="n"/>
      <c r="F29" s="48">
        <f>IF($A29="","",IF(OR($C29="禁售",$C29="需资质",$D29="是",$E29="是"),"是","否"))</f>
        <v/>
      </c>
      <c r="G29" s="53" t="n"/>
      <c r="H29" s="53" t="n"/>
      <c r="I29" s="53" t="n"/>
      <c r="J29" s="53" t="n"/>
      <c r="K29" s="53" t="n"/>
      <c r="L29" s="53" t="n"/>
      <c r="M29" s="53" t="n"/>
      <c r="N29" s="50">
        <f>IF($A29="","",IF($F29="是",0,SUMPRODUCT($G29:$M29,$G$3:$M$3)))</f>
        <v/>
      </c>
      <c r="O29" s="51">
        <f>IF(OR($A29="",$N29=""),"",RANK($N29,$N$5:$N$204,0))</f>
        <v/>
      </c>
      <c r="P29" s="37">
        <f>IF($A29="","",IF($F29="是","⛔淘汰(一票否决)",IF($O29&lt;='参数配置'!$B$12,"⭐优先上架Top N",IF($N29&gt;='参数配置'!$B$13,"观察跟进","暂缓/优化后再评"))))</f>
        <v/>
      </c>
    </row>
    <row r="30">
      <c r="A30" s="52" t="n"/>
      <c r="B30" s="46">
        <f>IFERROR(VLOOKUP($A30,'SKU主表'!$A:$M,2,0),"")</f>
        <v/>
      </c>
      <c r="C30" s="47">
        <f>IFERROR(VLOOKUP($A30,'SKU主表'!$A:$M,9,0),"")</f>
        <v/>
      </c>
      <c r="D30" s="52" t="n"/>
      <c r="E30" s="52" t="n"/>
      <c r="F30" s="48">
        <f>IF($A30="","",IF(OR($C30="禁售",$C30="需资质",$D30="是",$E30="是"),"是","否"))</f>
        <v/>
      </c>
      <c r="G30" s="53" t="n"/>
      <c r="H30" s="53" t="n"/>
      <c r="I30" s="53" t="n"/>
      <c r="J30" s="53" t="n"/>
      <c r="K30" s="53" t="n"/>
      <c r="L30" s="53" t="n"/>
      <c r="M30" s="53" t="n"/>
      <c r="N30" s="50">
        <f>IF($A30="","",IF($F30="是",0,SUMPRODUCT($G30:$M30,$G$3:$M$3)))</f>
        <v/>
      </c>
      <c r="O30" s="51">
        <f>IF(OR($A30="",$N30=""),"",RANK($N30,$N$5:$N$204,0))</f>
        <v/>
      </c>
      <c r="P30" s="37">
        <f>IF($A30="","",IF($F30="是","⛔淘汰(一票否决)",IF($O30&lt;='参数配置'!$B$12,"⭐优先上架Top N",IF($N30&gt;='参数配置'!$B$13,"观察跟进","暂缓/优化后再评"))))</f>
        <v/>
      </c>
    </row>
    <row r="31">
      <c r="A31" s="52" t="n"/>
      <c r="B31" s="46">
        <f>IFERROR(VLOOKUP($A31,'SKU主表'!$A:$M,2,0),"")</f>
        <v/>
      </c>
      <c r="C31" s="47">
        <f>IFERROR(VLOOKUP($A31,'SKU主表'!$A:$M,9,0),"")</f>
        <v/>
      </c>
      <c r="D31" s="52" t="n"/>
      <c r="E31" s="52" t="n"/>
      <c r="F31" s="48">
        <f>IF($A31="","",IF(OR($C31="禁售",$C31="需资质",$D31="是",$E31="是"),"是","否"))</f>
        <v/>
      </c>
      <c r="G31" s="53" t="n"/>
      <c r="H31" s="53" t="n"/>
      <c r="I31" s="53" t="n"/>
      <c r="J31" s="53" t="n"/>
      <c r="K31" s="53" t="n"/>
      <c r="L31" s="53" t="n"/>
      <c r="M31" s="53" t="n"/>
      <c r="N31" s="50">
        <f>IF($A31="","",IF($F31="是",0,SUMPRODUCT($G31:$M31,$G$3:$M$3)))</f>
        <v/>
      </c>
      <c r="O31" s="51">
        <f>IF(OR($A31="",$N31=""),"",RANK($N31,$N$5:$N$204,0))</f>
        <v/>
      </c>
      <c r="P31" s="37">
        <f>IF($A31="","",IF($F31="是","⛔淘汰(一票否决)",IF($O31&lt;='参数配置'!$B$12,"⭐优先上架Top N",IF($N31&gt;='参数配置'!$B$13,"观察跟进","暂缓/优化后再评"))))</f>
        <v/>
      </c>
    </row>
    <row r="32">
      <c r="A32" s="52" t="n"/>
      <c r="B32" s="46">
        <f>IFERROR(VLOOKUP($A32,'SKU主表'!$A:$M,2,0),"")</f>
        <v/>
      </c>
      <c r="C32" s="47">
        <f>IFERROR(VLOOKUP($A32,'SKU主表'!$A:$M,9,0),"")</f>
        <v/>
      </c>
      <c r="D32" s="52" t="n"/>
      <c r="E32" s="52" t="n"/>
      <c r="F32" s="48">
        <f>IF($A32="","",IF(OR($C32="禁售",$C32="需资质",$D32="是",$E32="是"),"是","否"))</f>
        <v/>
      </c>
      <c r="G32" s="53" t="n"/>
      <c r="H32" s="53" t="n"/>
      <c r="I32" s="53" t="n"/>
      <c r="J32" s="53" t="n"/>
      <c r="K32" s="53" t="n"/>
      <c r="L32" s="53" t="n"/>
      <c r="M32" s="53" t="n"/>
      <c r="N32" s="50">
        <f>IF($A32="","",IF($F32="是",0,SUMPRODUCT($G32:$M32,$G$3:$M$3)))</f>
        <v/>
      </c>
      <c r="O32" s="51">
        <f>IF(OR($A32="",$N32=""),"",RANK($N32,$N$5:$N$204,0))</f>
        <v/>
      </c>
      <c r="P32" s="37">
        <f>IF($A32="","",IF($F32="是","⛔淘汰(一票否决)",IF($O32&lt;='参数配置'!$B$12,"⭐优先上架Top N",IF($N32&gt;='参数配置'!$B$13,"观察跟进","暂缓/优化后再评"))))</f>
        <v/>
      </c>
    </row>
    <row r="33">
      <c r="A33" s="52" t="n"/>
      <c r="B33" s="46">
        <f>IFERROR(VLOOKUP($A33,'SKU主表'!$A:$M,2,0),"")</f>
        <v/>
      </c>
      <c r="C33" s="47">
        <f>IFERROR(VLOOKUP($A33,'SKU主表'!$A:$M,9,0),"")</f>
        <v/>
      </c>
      <c r="D33" s="52" t="n"/>
      <c r="E33" s="52" t="n"/>
      <c r="F33" s="48">
        <f>IF($A33="","",IF(OR($C33="禁售",$C33="需资质",$D33="是",$E33="是"),"是","否"))</f>
        <v/>
      </c>
      <c r="G33" s="53" t="n"/>
      <c r="H33" s="53" t="n"/>
      <c r="I33" s="53" t="n"/>
      <c r="J33" s="53" t="n"/>
      <c r="K33" s="53" t="n"/>
      <c r="L33" s="53" t="n"/>
      <c r="M33" s="53" t="n"/>
      <c r="N33" s="50">
        <f>IF($A33="","",IF($F33="是",0,SUMPRODUCT($G33:$M33,$G$3:$M$3)))</f>
        <v/>
      </c>
      <c r="O33" s="51">
        <f>IF(OR($A33="",$N33=""),"",RANK($N33,$N$5:$N$204,0))</f>
        <v/>
      </c>
      <c r="P33" s="37">
        <f>IF($A33="","",IF($F33="是","⛔淘汰(一票否决)",IF($O33&lt;='参数配置'!$B$12,"⭐优先上架Top N",IF($N33&gt;='参数配置'!$B$13,"观察跟进","暂缓/优化后再评"))))</f>
        <v/>
      </c>
    </row>
    <row r="34">
      <c r="A34" s="52" t="n"/>
      <c r="B34" s="46">
        <f>IFERROR(VLOOKUP($A34,'SKU主表'!$A:$M,2,0),"")</f>
        <v/>
      </c>
      <c r="C34" s="47">
        <f>IFERROR(VLOOKUP($A34,'SKU主表'!$A:$M,9,0),"")</f>
        <v/>
      </c>
      <c r="D34" s="52" t="n"/>
      <c r="E34" s="52" t="n"/>
      <c r="F34" s="48">
        <f>IF($A34="","",IF(OR($C34="禁售",$C34="需资质",$D34="是",$E34="是"),"是","否"))</f>
        <v/>
      </c>
      <c r="G34" s="53" t="n"/>
      <c r="H34" s="53" t="n"/>
      <c r="I34" s="53" t="n"/>
      <c r="J34" s="53" t="n"/>
      <c r="K34" s="53" t="n"/>
      <c r="L34" s="53" t="n"/>
      <c r="M34" s="53" t="n"/>
      <c r="N34" s="50">
        <f>IF($A34="","",IF($F34="是",0,SUMPRODUCT($G34:$M34,$G$3:$M$3)))</f>
        <v/>
      </c>
      <c r="O34" s="51">
        <f>IF(OR($A34="",$N34=""),"",RANK($N34,$N$5:$N$204,0))</f>
        <v/>
      </c>
      <c r="P34" s="37">
        <f>IF($A34="","",IF($F34="是","⛔淘汰(一票否决)",IF($O34&lt;='参数配置'!$B$12,"⭐优先上架Top N",IF($N34&gt;='参数配置'!$B$13,"观察跟进","暂缓/优化后再评"))))</f>
        <v/>
      </c>
    </row>
    <row r="35">
      <c r="A35" s="52" t="n"/>
      <c r="B35" s="46">
        <f>IFERROR(VLOOKUP($A35,'SKU主表'!$A:$M,2,0),"")</f>
        <v/>
      </c>
      <c r="C35" s="47">
        <f>IFERROR(VLOOKUP($A35,'SKU主表'!$A:$M,9,0),"")</f>
        <v/>
      </c>
      <c r="D35" s="52" t="n"/>
      <c r="E35" s="52" t="n"/>
      <c r="F35" s="48">
        <f>IF($A35="","",IF(OR($C35="禁售",$C35="需资质",$D35="是",$E35="是"),"是","否"))</f>
        <v/>
      </c>
      <c r="G35" s="53" t="n"/>
      <c r="H35" s="53" t="n"/>
      <c r="I35" s="53" t="n"/>
      <c r="J35" s="53" t="n"/>
      <c r="K35" s="53" t="n"/>
      <c r="L35" s="53" t="n"/>
      <c r="M35" s="53" t="n"/>
      <c r="N35" s="50">
        <f>IF($A35="","",IF($F35="是",0,SUMPRODUCT($G35:$M35,$G$3:$M$3)))</f>
        <v/>
      </c>
      <c r="O35" s="51">
        <f>IF(OR($A35="",$N35=""),"",RANK($N35,$N$5:$N$204,0))</f>
        <v/>
      </c>
      <c r="P35" s="37">
        <f>IF($A35="","",IF($F35="是","⛔淘汰(一票否决)",IF($O35&lt;='参数配置'!$B$12,"⭐优先上架Top N",IF($N35&gt;='参数配置'!$B$13,"观察跟进","暂缓/优化后再评"))))</f>
        <v/>
      </c>
    </row>
    <row r="36">
      <c r="A36" s="52" t="n"/>
      <c r="B36" s="46">
        <f>IFERROR(VLOOKUP($A36,'SKU主表'!$A:$M,2,0),"")</f>
        <v/>
      </c>
      <c r="C36" s="47">
        <f>IFERROR(VLOOKUP($A36,'SKU主表'!$A:$M,9,0),"")</f>
        <v/>
      </c>
      <c r="D36" s="52" t="n"/>
      <c r="E36" s="52" t="n"/>
      <c r="F36" s="48">
        <f>IF($A36="","",IF(OR($C36="禁售",$C36="需资质",$D36="是",$E36="是"),"是","否"))</f>
        <v/>
      </c>
      <c r="G36" s="53" t="n"/>
      <c r="H36" s="53" t="n"/>
      <c r="I36" s="53" t="n"/>
      <c r="J36" s="53" t="n"/>
      <c r="K36" s="53" t="n"/>
      <c r="L36" s="53" t="n"/>
      <c r="M36" s="53" t="n"/>
      <c r="N36" s="50">
        <f>IF($A36="","",IF($F36="是",0,SUMPRODUCT($G36:$M36,$G$3:$M$3)))</f>
        <v/>
      </c>
      <c r="O36" s="51">
        <f>IF(OR($A36="",$N36=""),"",RANK($N36,$N$5:$N$204,0))</f>
        <v/>
      </c>
      <c r="P36" s="37">
        <f>IF($A36="","",IF($F36="是","⛔淘汰(一票否决)",IF($O36&lt;='参数配置'!$B$12,"⭐优先上架Top N",IF($N36&gt;='参数配置'!$B$13,"观察跟进","暂缓/优化后再评"))))</f>
        <v/>
      </c>
    </row>
    <row r="37">
      <c r="A37" s="52" t="n"/>
      <c r="B37" s="46">
        <f>IFERROR(VLOOKUP($A37,'SKU主表'!$A:$M,2,0),"")</f>
        <v/>
      </c>
      <c r="C37" s="47">
        <f>IFERROR(VLOOKUP($A37,'SKU主表'!$A:$M,9,0),"")</f>
        <v/>
      </c>
      <c r="D37" s="52" t="n"/>
      <c r="E37" s="52" t="n"/>
      <c r="F37" s="48">
        <f>IF($A37="","",IF(OR($C37="禁售",$C37="需资质",$D37="是",$E37="是"),"是","否"))</f>
        <v/>
      </c>
      <c r="G37" s="53" t="n"/>
      <c r="H37" s="53" t="n"/>
      <c r="I37" s="53" t="n"/>
      <c r="J37" s="53" t="n"/>
      <c r="K37" s="53" t="n"/>
      <c r="L37" s="53" t="n"/>
      <c r="M37" s="53" t="n"/>
      <c r="N37" s="50">
        <f>IF($A37="","",IF($F37="是",0,SUMPRODUCT($G37:$M37,$G$3:$M$3)))</f>
        <v/>
      </c>
      <c r="O37" s="51">
        <f>IF(OR($A37="",$N37=""),"",RANK($N37,$N$5:$N$204,0))</f>
        <v/>
      </c>
      <c r="P37" s="37">
        <f>IF($A37="","",IF($F37="是","⛔淘汰(一票否决)",IF($O37&lt;='参数配置'!$B$12,"⭐优先上架Top N",IF($N37&gt;='参数配置'!$B$13,"观察跟进","暂缓/优化后再评"))))</f>
        <v/>
      </c>
    </row>
    <row r="38">
      <c r="A38" s="52" t="n"/>
      <c r="B38" s="46">
        <f>IFERROR(VLOOKUP($A38,'SKU主表'!$A:$M,2,0),"")</f>
        <v/>
      </c>
      <c r="C38" s="47">
        <f>IFERROR(VLOOKUP($A38,'SKU主表'!$A:$M,9,0),"")</f>
        <v/>
      </c>
      <c r="D38" s="52" t="n"/>
      <c r="E38" s="52" t="n"/>
      <c r="F38" s="48">
        <f>IF($A38="","",IF(OR($C38="禁售",$C38="需资质",$D38="是",$E38="是"),"是","否"))</f>
        <v/>
      </c>
      <c r="G38" s="53" t="n"/>
      <c r="H38" s="53" t="n"/>
      <c r="I38" s="53" t="n"/>
      <c r="J38" s="53" t="n"/>
      <c r="K38" s="53" t="n"/>
      <c r="L38" s="53" t="n"/>
      <c r="M38" s="53" t="n"/>
      <c r="N38" s="50">
        <f>IF($A38="","",IF($F38="是",0,SUMPRODUCT($G38:$M38,$G$3:$M$3)))</f>
        <v/>
      </c>
      <c r="O38" s="51">
        <f>IF(OR($A38="",$N38=""),"",RANK($N38,$N$5:$N$204,0))</f>
        <v/>
      </c>
      <c r="P38" s="37">
        <f>IF($A38="","",IF($F38="是","⛔淘汰(一票否决)",IF($O38&lt;='参数配置'!$B$12,"⭐优先上架Top N",IF($N38&gt;='参数配置'!$B$13,"观察跟进","暂缓/优化后再评"))))</f>
        <v/>
      </c>
    </row>
    <row r="39">
      <c r="A39" s="52" t="n"/>
      <c r="B39" s="46">
        <f>IFERROR(VLOOKUP($A39,'SKU主表'!$A:$M,2,0),"")</f>
        <v/>
      </c>
      <c r="C39" s="47">
        <f>IFERROR(VLOOKUP($A39,'SKU主表'!$A:$M,9,0),"")</f>
        <v/>
      </c>
      <c r="D39" s="52" t="n"/>
      <c r="E39" s="52" t="n"/>
      <c r="F39" s="48">
        <f>IF($A39="","",IF(OR($C39="禁售",$C39="需资质",$D39="是",$E39="是"),"是","否"))</f>
        <v/>
      </c>
      <c r="G39" s="53" t="n"/>
      <c r="H39" s="53" t="n"/>
      <c r="I39" s="53" t="n"/>
      <c r="J39" s="53" t="n"/>
      <c r="K39" s="53" t="n"/>
      <c r="L39" s="53" t="n"/>
      <c r="M39" s="53" t="n"/>
      <c r="N39" s="50">
        <f>IF($A39="","",IF($F39="是",0,SUMPRODUCT($G39:$M39,$G$3:$M$3)))</f>
        <v/>
      </c>
      <c r="O39" s="51">
        <f>IF(OR($A39="",$N39=""),"",RANK($N39,$N$5:$N$204,0))</f>
        <v/>
      </c>
      <c r="P39" s="37">
        <f>IF($A39="","",IF($F39="是","⛔淘汰(一票否决)",IF($O39&lt;='参数配置'!$B$12,"⭐优先上架Top N",IF($N39&gt;='参数配置'!$B$13,"观察跟进","暂缓/优化后再评"))))</f>
        <v/>
      </c>
    </row>
    <row r="40">
      <c r="A40" s="52" t="n"/>
      <c r="B40" s="46">
        <f>IFERROR(VLOOKUP($A40,'SKU主表'!$A:$M,2,0),"")</f>
        <v/>
      </c>
      <c r="C40" s="47">
        <f>IFERROR(VLOOKUP($A40,'SKU主表'!$A:$M,9,0),"")</f>
        <v/>
      </c>
      <c r="D40" s="52" t="n"/>
      <c r="E40" s="52" t="n"/>
      <c r="F40" s="48">
        <f>IF($A40="","",IF(OR($C40="禁售",$C40="需资质",$D40="是",$E40="是"),"是","否"))</f>
        <v/>
      </c>
      <c r="G40" s="53" t="n"/>
      <c r="H40" s="53" t="n"/>
      <c r="I40" s="53" t="n"/>
      <c r="J40" s="53" t="n"/>
      <c r="K40" s="53" t="n"/>
      <c r="L40" s="53" t="n"/>
      <c r="M40" s="53" t="n"/>
      <c r="N40" s="50">
        <f>IF($A40="","",IF($F40="是",0,SUMPRODUCT($G40:$M40,$G$3:$M$3)))</f>
        <v/>
      </c>
      <c r="O40" s="51">
        <f>IF(OR($A40="",$N40=""),"",RANK($N40,$N$5:$N$204,0))</f>
        <v/>
      </c>
      <c r="P40" s="37">
        <f>IF($A40="","",IF($F40="是","⛔淘汰(一票否决)",IF($O40&lt;='参数配置'!$B$12,"⭐优先上架Top N",IF($N40&gt;='参数配置'!$B$13,"观察跟进","暂缓/优化后再评"))))</f>
        <v/>
      </c>
    </row>
    <row r="41">
      <c r="A41" s="52" t="n"/>
      <c r="B41" s="46">
        <f>IFERROR(VLOOKUP($A41,'SKU主表'!$A:$M,2,0),"")</f>
        <v/>
      </c>
      <c r="C41" s="47">
        <f>IFERROR(VLOOKUP($A41,'SKU主表'!$A:$M,9,0),"")</f>
        <v/>
      </c>
      <c r="D41" s="52" t="n"/>
      <c r="E41" s="52" t="n"/>
      <c r="F41" s="48">
        <f>IF($A41="","",IF(OR($C41="禁售",$C41="需资质",$D41="是",$E41="是"),"是","否"))</f>
        <v/>
      </c>
      <c r="G41" s="53" t="n"/>
      <c r="H41" s="53" t="n"/>
      <c r="I41" s="53" t="n"/>
      <c r="J41" s="53" t="n"/>
      <c r="K41" s="53" t="n"/>
      <c r="L41" s="53" t="n"/>
      <c r="M41" s="53" t="n"/>
      <c r="N41" s="50">
        <f>IF($A41="","",IF($F41="是",0,SUMPRODUCT($G41:$M41,$G$3:$M$3)))</f>
        <v/>
      </c>
      <c r="O41" s="51">
        <f>IF(OR($A41="",$N41=""),"",RANK($N41,$N$5:$N$204,0))</f>
        <v/>
      </c>
      <c r="P41" s="37">
        <f>IF($A41="","",IF($F41="是","⛔淘汰(一票否决)",IF($O41&lt;='参数配置'!$B$12,"⭐优先上架Top N",IF($N41&gt;='参数配置'!$B$13,"观察跟进","暂缓/优化后再评"))))</f>
        <v/>
      </c>
    </row>
    <row r="42">
      <c r="A42" s="52" t="n"/>
      <c r="B42" s="46">
        <f>IFERROR(VLOOKUP($A42,'SKU主表'!$A:$M,2,0),"")</f>
        <v/>
      </c>
      <c r="C42" s="47">
        <f>IFERROR(VLOOKUP($A42,'SKU主表'!$A:$M,9,0),"")</f>
        <v/>
      </c>
      <c r="D42" s="52" t="n"/>
      <c r="E42" s="52" t="n"/>
      <c r="F42" s="48">
        <f>IF($A42="","",IF(OR($C42="禁售",$C42="需资质",$D42="是",$E42="是"),"是","否"))</f>
        <v/>
      </c>
      <c r="G42" s="53" t="n"/>
      <c r="H42" s="53" t="n"/>
      <c r="I42" s="53" t="n"/>
      <c r="J42" s="53" t="n"/>
      <c r="K42" s="53" t="n"/>
      <c r="L42" s="53" t="n"/>
      <c r="M42" s="53" t="n"/>
      <c r="N42" s="50">
        <f>IF($A42="","",IF($F42="是",0,SUMPRODUCT($G42:$M42,$G$3:$M$3)))</f>
        <v/>
      </c>
      <c r="O42" s="51">
        <f>IF(OR($A42="",$N42=""),"",RANK($N42,$N$5:$N$204,0))</f>
        <v/>
      </c>
      <c r="P42" s="37">
        <f>IF($A42="","",IF($F42="是","⛔淘汰(一票否决)",IF($O42&lt;='参数配置'!$B$12,"⭐优先上架Top N",IF($N42&gt;='参数配置'!$B$13,"观察跟进","暂缓/优化后再评"))))</f>
        <v/>
      </c>
    </row>
    <row r="43">
      <c r="A43" s="52" t="n"/>
      <c r="B43" s="46">
        <f>IFERROR(VLOOKUP($A43,'SKU主表'!$A:$M,2,0),"")</f>
        <v/>
      </c>
      <c r="C43" s="47">
        <f>IFERROR(VLOOKUP($A43,'SKU主表'!$A:$M,9,0),"")</f>
        <v/>
      </c>
      <c r="D43" s="52" t="n"/>
      <c r="E43" s="52" t="n"/>
      <c r="F43" s="48">
        <f>IF($A43="","",IF(OR($C43="禁售",$C43="需资质",$D43="是",$E43="是"),"是","否"))</f>
        <v/>
      </c>
      <c r="G43" s="53" t="n"/>
      <c r="H43" s="53" t="n"/>
      <c r="I43" s="53" t="n"/>
      <c r="J43" s="53" t="n"/>
      <c r="K43" s="53" t="n"/>
      <c r="L43" s="53" t="n"/>
      <c r="M43" s="53" t="n"/>
      <c r="N43" s="50">
        <f>IF($A43="","",IF($F43="是",0,SUMPRODUCT($G43:$M43,$G$3:$M$3)))</f>
        <v/>
      </c>
      <c r="O43" s="51">
        <f>IF(OR($A43="",$N43=""),"",RANK($N43,$N$5:$N$204,0))</f>
        <v/>
      </c>
      <c r="P43" s="37">
        <f>IF($A43="","",IF($F43="是","⛔淘汰(一票否决)",IF($O43&lt;='参数配置'!$B$12,"⭐优先上架Top N",IF($N43&gt;='参数配置'!$B$13,"观察跟进","暂缓/优化后再评"))))</f>
        <v/>
      </c>
    </row>
    <row r="44">
      <c r="A44" s="52" t="n"/>
      <c r="B44" s="46">
        <f>IFERROR(VLOOKUP($A44,'SKU主表'!$A:$M,2,0),"")</f>
        <v/>
      </c>
      <c r="C44" s="47">
        <f>IFERROR(VLOOKUP($A44,'SKU主表'!$A:$M,9,0),"")</f>
        <v/>
      </c>
      <c r="D44" s="52" t="n"/>
      <c r="E44" s="52" t="n"/>
      <c r="F44" s="48">
        <f>IF($A44="","",IF(OR($C44="禁售",$C44="需资质",$D44="是",$E44="是"),"是","否"))</f>
        <v/>
      </c>
      <c r="G44" s="53" t="n"/>
      <c r="H44" s="53" t="n"/>
      <c r="I44" s="53" t="n"/>
      <c r="J44" s="53" t="n"/>
      <c r="K44" s="53" t="n"/>
      <c r="L44" s="53" t="n"/>
      <c r="M44" s="53" t="n"/>
      <c r="N44" s="50">
        <f>IF($A44="","",IF($F44="是",0,SUMPRODUCT($G44:$M44,$G$3:$M$3)))</f>
        <v/>
      </c>
      <c r="O44" s="51">
        <f>IF(OR($A44="",$N44=""),"",RANK($N44,$N$5:$N$204,0))</f>
        <v/>
      </c>
      <c r="P44" s="37">
        <f>IF($A44="","",IF($F44="是","⛔淘汰(一票否决)",IF($O44&lt;='参数配置'!$B$12,"⭐优先上架Top N",IF($N44&gt;='参数配置'!$B$13,"观察跟进","暂缓/优化后再评"))))</f>
        <v/>
      </c>
    </row>
    <row r="45">
      <c r="A45" s="52" t="n"/>
      <c r="B45" s="46">
        <f>IFERROR(VLOOKUP($A45,'SKU主表'!$A:$M,2,0),"")</f>
        <v/>
      </c>
      <c r="C45" s="47">
        <f>IFERROR(VLOOKUP($A45,'SKU主表'!$A:$M,9,0),"")</f>
        <v/>
      </c>
      <c r="D45" s="52" t="n"/>
      <c r="E45" s="52" t="n"/>
      <c r="F45" s="48">
        <f>IF($A45="","",IF(OR($C45="禁售",$C45="需资质",$D45="是",$E45="是"),"是","否"))</f>
        <v/>
      </c>
      <c r="G45" s="53" t="n"/>
      <c r="H45" s="53" t="n"/>
      <c r="I45" s="53" t="n"/>
      <c r="J45" s="53" t="n"/>
      <c r="K45" s="53" t="n"/>
      <c r="L45" s="53" t="n"/>
      <c r="M45" s="53" t="n"/>
      <c r="N45" s="50">
        <f>IF($A45="","",IF($F45="是",0,SUMPRODUCT($G45:$M45,$G$3:$M$3)))</f>
        <v/>
      </c>
      <c r="O45" s="51">
        <f>IF(OR($A45="",$N45=""),"",RANK($N45,$N$5:$N$204,0))</f>
        <v/>
      </c>
      <c r="P45" s="37">
        <f>IF($A45="","",IF($F45="是","⛔淘汰(一票否决)",IF($O45&lt;='参数配置'!$B$12,"⭐优先上架Top N",IF($N45&gt;='参数配置'!$B$13,"观察跟进","暂缓/优化后再评"))))</f>
        <v/>
      </c>
    </row>
    <row r="46">
      <c r="A46" s="52" t="n"/>
      <c r="B46" s="46">
        <f>IFERROR(VLOOKUP($A46,'SKU主表'!$A:$M,2,0),"")</f>
        <v/>
      </c>
      <c r="C46" s="47">
        <f>IFERROR(VLOOKUP($A46,'SKU主表'!$A:$M,9,0),"")</f>
        <v/>
      </c>
      <c r="D46" s="52" t="n"/>
      <c r="E46" s="52" t="n"/>
      <c r="F46" s="48">
        <f>IF($A46="","",IF(OR($C46="禁售",$C46="需资质",$D46="是",$E46="是"),"是","否"))</f>
        <v/>
      </c>
      <c r="G46" s="53" t="n"/>
      <c r="H46" s="53" t="n"/>
      <c r="I46" s="53" t="n"/>
      <c r="J46" s="53" t="n"/>
      <c r="K46" s="53" t="n"/>
      <c r="L46" s="53" t="n"/>
      <c r="M46" s="53" t="n"/>
      <c r="N46" s="50">
        <f>IF($A46="","",IF($F46="是",0,SUMPRODUCT($G46:$M46,$G$3:$M$3)))</f>
        <v/>
      </c>
      <c r="O46" s="51">
        <f>IF(OR($A46="",$N46=""),"",RANK($N46,$N$5:$N$204,0))</f>
        <v/>
      </c>
      <c r="P46" s="37">
        <f>IF($A46="","",IF($F46="是","⛔淘汰(一票否决)",IF($O46&lt;='参数配置'!$B$12,"⭐优先上架Top N",IF($N46&gt;='参数配置'!$B$13,"观察跟进","暂缓/优化后再评"))))</f>
        <v/>
      </c>
    </row>
    <row r="47">
      <c r="A47" s="52" t="n"/>
      <c r="B47" s="46">
        <f>IFERROR(VLOOKUP($A47,'SKU主表'!$A:$M,2,0),"")</f>
        <v/>
      </c>
      <c r="C47" s="47">
        <f>IFERROR(VLOOKUP($A47,'SKU主表'!$A:$M,9,0),"")</f>
        <v/>
      </c>
      <c r="D47" s="52" t="n"/>
      <c r="E47" s="52" t="n"/>
      <c r="F47" s="48">
        <f>IF($A47="","",IF(OR($C47="禁售",$C47="需资质",$D47="是",$E47="是"),"是","否"))</f>
        <v/>
      </c>
      <c r="G47" s="53" t="n"/>
      <c r="H47" s="53" t="n"/>
      <c r="I47" s="53" t="n"/>
      <c r="J47" s="53" t="n"/>
      <c r="K47" s="53" t="n"/>
      <c r="L47" s="53" t="n"/>
      <c r="M47" s="53" t="n"/>
      <c r="N47" s="50">
        <f>IF($A47="","",IF($F47="是",0,SUMPRODUCT($G47:$M47,$G$3:$M$3)))</f>
        <v/>
      </c>
      <c r="O47" s="51">
        <f>IF(OR($A47="",$N47=""),"",RANK($N47,$N$5:$N$204,0))</f>
        <v/>
      </c>
      <c r="P47" s="37">
        <f>IF($A47="","",IF($F47="是","⛔淘汰(一票否决)",IF($O47&lt;='参数配置'!$B$12,"⭐优先上架Top N",IF($N47&gt;='参数配置'!$B$13,"观察跟进","暂缓/优化后再评"))))</f>
        <v/>
      </c>
    </row>
    <row r="48">
      <c r="A48" s="52" t="n"/>
      <c r="B48" s="46">
        <f>IFERROR(VLOOKUP($A48,'SKU主表'!$A:$M,2,0),"")</f>
        <v/>
      </c>
      <c r="C48" s="47">
        <f>IFERROR(VLOOKUP($A48,'SKU主表'!$A:$M,9,0),"")</f>
        <v/>
      </c>
      <c r="D48" s="52" t="n"/>
      <c r="E48" s="52" t="n"/>
      <c r="F48" s="48">
        <f>IF($A48="","",IF(OR($C48="禁售",$C48="需资质",$D48="是",$E48="是"),"是","否"))</f>
        <v/>
      </c>
      <c r="G48" s="53" t="n"/>
      <c r="H48" s="53" t="n"/>
      <c r="I48" s="53" t="n"/>
      <c r="J48" s="53" t="n"/>
      <c r="K48" s="53" t="n"/>
      <c r="L48" s="53" t="n"/>
      <c r="M48" s="53" t="n"/>
      <c r="N48" s="50">
        <f>IF($A48="","",IF($F48="是",0,SUMPRODUCT($G48:$M48,$G$3:$M$3)))</f>
        <v/>
      </c>
      <c r="O48" s="51">
        <f>IF(OR($A48="",$N48=""),"",RANK($N48,$N$5:$N$204,0))</f>
        <v/>
      </c>
      <c r="P48" s="37">
        <f>IF($A48="","",IF($F48="是","⛔淘汰(一票否决)",IF($O48&lt;='参数配置'!$B$12,"⭐优先上架Top N",IF($N48&gt;='参数配置'!$B$13,"观察跟进","暂缓/优化后再评"))))</f>
        <v/>
      </c>
    </row>
    <row r="49">
      <c r="A49" s="52" t="n"/>
      <c r="B49" s="46">
        <f>IFERROR(VLOOKUP($A49,'SKU主表'!$A:$M,2,0),"")</f>
        <v/>
      </c>
      <c r="C49" s="47">
        <f>IFERROR(VLOOKUP($A49,'SKU主表'!$A:$M,9,0),"")</f>
        <v/>
      </c>
      <c r="D49" s="52" t="n"/>
      <c r="E49" s="52" t="n"/>
      <c r="F49" s="48">
        <f>IF($A49="","",IF(OR($C49="禁售",$C49="需资质",$D49="是",$E49="是"),"是","否"))</f>
        <v/>
      </c>
      <c r="G49" s="53" t="n"/>
      <c r="H49" s="53" t="n"/>
      <c r="I49" s="53" t="n"/>
      <c r="J49" s="53" t="n"/>
      <c r="K49" s="53" t="n"/>
      <c r="L49" s="53" t="n"/>
      <c r="M49" s="53" t="n"/>
      <c r="N49" s="50">
        <f>IF($A49="","",IF($F49="是",0,SUMPRODUCT($G49:$M49,$G$3:$M$3)))</f>
        <v/>
      </c>
      <c r="O49" s="51">
        <f>IF(OR($A49="",$N49=""),"",RANK($N49,$N$5:$N$204,0))</f>
        <v/>
      </c>
      <c r="P49" s="37">
        <f>IF($A49="","",IF($F49="是","⛔淘汰(一票否决)",IF($O49&lt;='参数配置'!$B$12,"⭐优先上架Top N",IF($N49&gt;='参数配置'!$B$13,"观察跟进","暂缓/优化后再评"))))</f>
        <v/>
      </c>
    </row>
    <row r="50">
      <c r="A50" s="52" t="n"/>
      <c r="B50" s="46">
        <f>IFERROR(VLOOKUP($A50,'SKU主表'!$A:$M,2,0),"")</f>
        <v/>
      </c>
      <c r="C50" s="47">
        <f>IFERROR(VLOOKUP($A50,'SKU主表'!$A:$M,9,0),"")</f>
        <v/>
      </c>
      <c r="D50" s="52" t="n"/>
      <c r="E50" s="52" t="n"/>
      <c r="F50" s="48">
        <f>IF($A50="","",IF(OR($C50="禁售",$C50="需资质",$D50="是",$E50="是"),"是","否"))</f>
        <v/>
      </c>
      <c r="G50" s="53" t="n"/>
      <c r="H50" s="53" t="n"/>
      <c r="I50" s="53" t="n"/>
      <c r="J50" s="53" t="n"/>
      <c r="K50" s="53" t="n"/>
      <c r="L50" s="53" t="n"/>
      <c r="M50" s="53" t="n"/>
      <c r="N50" s="50">
        <f>IF($A50="","",IF($F50="是",0,SUMPRODUCT($G50:$M50,$G$3:$M$3)))</f>
        <v/>
      </c>
      <c r="O50" s="51">
        <f>IF(OR($A50="",$N50=""),"",RANK($N50,$N$5:$N$204,0))</f>
        <v/>
      </c>
      <c r="P50" s="37">
        <f>IF($A50="","",IF($F50="是","⛔淘汰(一票否决)",IF($O50&lt;='参数配置'!$B$12,"⭐优先上架Top N",IF($N50&gt;='参数配置'!$B$13,"观察跟进","暂缓/优化后再评"))))</f>
        <v/>
      </c>
    </row>
    <row r="51">
      <c r="A51" s="52" t="n"/>
      <c r="B51" s="46">
        <f>IFERROR(VLOOKUP($A51,'SKU主表'!$A:$M,2,0),"")</f>
        <v/>
      </c>
      <c r="C51" s="47">
        <f>IFERROR(VLOOKUP($A51,'SKU主表'!$A:$M,9,0),"")</f>
        <v/>
      </c>
      <c r="D51" s="52" t="n"/>
      <c r="E51" s="52" t="n"/>
      <c r="F51" s="48">
        <f>IF($A51="","",IF(OR($C51="禁售",$C51="需资质",$D51="是",$E51="是"),"是","否"))</f>
        <v/>
      </c>
      <c r="G51" s="53" t="n"/>
      <c r="H51" s="53" t="n"/>
      <c r="I51" s="53" t="n"/>
      <c r="J51" s="53" t="n"/>
      <c r="K51" s="53" t="n"/>
      <c r="L51" s="53" t="n"/>
      <c r="M51" s="53" t="n"/>
      <c r="N51" s="50">
        <f>IF($A51="","",IF($F51="是",0,SUMPRODUCT($G51:$M51,$G$3:$M$3)))</f>
        <v/>
      </c>
      <c r="O51" s="51">
        <f>IF(OR($A51="",$N51=""),"",RANK($N51,$N$5:$N$204,0))</f>
        <v/>
      </c>
      <c r="P51" s="37">
        <f>IF($A51="","",IF($F51="是","⛔淘汰(一票否决)",IF($O51&lt;='参数配置'!$B$12,"⭐优先上架Top N",IF($N51&gt;='参数配置'!$B$13,"观察跟进","暂缓/优化后再评"))))</f>
        <v/>
      </c>
    </row>
    <row r="52">
      <c r="A52" s="52" t="n"/>
      <c r="B52" s="46">
        <f>IFERROR(VLOOKUP($A52,'SKU主表'!$A:$M,2,0),"")</f>
        <v/>
      </c>
      <c r="C52" s="47">
        <f>IFERROR(VLOOKUP($A52,'SKU主表'!$A:$M,9,0),"")</f>
        <v/>
      </c>
      <c r="D52" s="52" t="n"/>
      <c r="E52" s="52" t="n"/>
      <c r="F52" s="48">
        <f>IF($A52="","",IF(OR($C52="禁售",$C52="需资质",$D52="是",$E52="是"),"是","否"))</f>
        <v/>
      </c>
      <c r="G52" s="53" t="n"/>
      <c r="H52" s="53" t="n"/>
      <c r="I52" s="53" t="n"/>
      <c r="J52" s="53" t="n"/>
      <c r="K52" s="53" t="n"/>
      <c r="L52" s="53" t="n"/>
      <c r="M52" s="53" t="n"/>
      <c r="N52" s="50">
        <f>IF($A52="","",IF($F52="是",0,SUMPRODUCT($G52:$M52,$G$3:$M$3)))</f>
        <v/>
      </c>
      <c r="O52" s="51">
        <f>IF(OR($A52="",$N52=""),"",RANK($N52,$N$5:$N$204,0))</f>
        <v/>
      </c>
      <c r="P52" s="37">
        <f>IF($A52="","",IF($F52="是","⛔淘汰(一票否决)",IF($O52&lt;='参数配置'!$B$12,"⭐优先上架Top N",IF($N52&gt;='参数配置'!$B$13,"观察跟进","暂缓/优化后再评"))))</f>
        <v/>
      </c>
    </row>
    <row r="53">
      <c r="A53" s="52" t="n"/>
      <c r="B53" s="46">
        <f>IFERROR(VLOOKUP($A53,'SKU主表'!$A:$M,2,0),"")</f>
        <v/>
      </c>
      <c r="C53" s="47">
        <f>IFERROR(VLOOKUP($A53,'SKU主表'!$A:$M,9,0),"")</f>
        <v/>
      </c>
      <c r="D53" s="52" t="n"/>
      <c r="E53" s="52" t="n"/>
      <c r="F53" s="48">
        <f>IF($A53="","",IF(OR($C53="禁售",$C53="需资质",$D53="是",$E53="是"),"是","否"))</f>
        <v/>
      </c>
      <c r="G53" s="53" t="n"/>
      <c r="H53" s="53" t="n"/>
      <c r="I53" s="53" t="n"/>
      <c r="J53" s="53" t="n"/>
      <c r="K53" s="53" t="n"/>
      <c r="L53" s="53" t="n"/>
      <c r="M53" s="53" t="n"/>
      <c r="N53" s="50">
        <f>IF($A53="","",IF($F53="是",0,SUMPRODUCT($G53:$M53,$G$3:$M$3)))</f>
        <v/>
      </c>
      <c r="O53" s="51">
        <f>IF(OR($A53="",$N53=""),"",RANK($N53,$N$5:$N$204,0))</f>
        <v/>
      </c>
      <c r="P53" s="37">
        <f>IF($A53="","",IF($F53="是","⛔淘汰(一票否决)",IF($O53&lt;='参数配置'!$B$12,"⭐优先上架Top N",IF($N53&gt;='参数配置'!$B$13,"观察跟进","暂缓/优化后再评"))))</f>
        <v/>
      </c>
    </row>
    <row r="54">
      <c r="A54" s="52" t="n"/>
      <c r="B54" s="46">
        <f>IFERROR(VLOOKUP($A54,'SKU主表'!$A:$M,2,0),"")</f>
        <v/>
      </c>
      <c r="C54" s="47">
        <f>IFERROR(VLOOKUP($A54,'SKU主表'!$A:$M,9,0),"")</f>
        <v/>
      </c>
      <c r="D54" s="52" t="n"/>
      <c r="E54" s="52" t="n"/>
      <c r="F54" s="48">
        <f>IF($A54="","",IF(OR($C54="禁售",$C54="需资质",$D54="是",$E54="是"),"是","否"))</f>
        <v/>
      </c>
      <c r="G54" s="53" t="n"/>
      <c r="H54" s="53" t="n"/>
      <c r="I54" s="53" t="n"/>
      <c r="J54" s="53" t="n"/>
      <c r="K54" s="53" t="n"/>
      <c r="L54" s="53" t="n"/>
      <c r="M54" s="53" t="n"/>
      <c r="N54" s="50">
        <f>IF($A54="","",IF($F54="是",0,SUMPRODUCT($G54:$M54,$G$3:$M$3)))</f>
        <v/>
      </c>
      <c r="O54" s="51">
        <f>IF(OR($A54="",$N54=""),"",RANK($N54,$N$5:$N$204,0))</f>
        <v/>
      </c>
      <c r="P54" s="37">
        <f>IF($A54="","",IF($F54="是","⛔淘汰(一票否决)",IF($O54&lt;='参数配置'!$B$12,"⭐优先上架Top N",IF($N54&gt;='参数配置'!$B$13,"观察跟进","暂缓/优化后再评"))))</f>
        <v/>
      </c>
    </row>
    <row r="55">
      <c r="A55" s="52" t="n"/>
      <c r="B55" s="46">
        <f>IFERROR(VLOOKUP($A55,'SKU主表'!$A:$M,2,0),"")</f>
        <v/>
      </c>
      <c r="C55" s="47">
        <f>IFERROR(VLOOKUP($A55,'SKU主表'!$A:$M,9,0),"")</f>
        <v/>
      </c>
      <c r="D55" s="52" t="n"/>
      <c r="E55" s="52" t="n"/>
      <c r="F55" s="48">
        <f>IF($A55="","",IF(OR($C55="禁售",$C55="需资质",$D55="是",$E55="是"),"是","否"))</f>
        <v/>
      </c>
      <c r="G55" s="53" t="n"/>
      <c r="H55" s="53" t="n"/>
      <c r="I55" s="53" t="n"/>
      <c r="J55" s="53" t="n"/>
      <c r="K55" s="53" t="n"/>
      <c r="L55" s="53" t="n"/>
      <c r="M55" s="53" t="n"/>
      <c r="N55" s="50">
        <f>IF($A55="","",IF($F55="是",0,SUMPRODUCT($G55:$M55,$G$3:$M$3)))</f>
        <v/>
      </c>
      <c r="O55" s="51">
        <f>IF(OR($A55="",$N55=""),"",RANK($N55,$N$5:$N$204,0))</f>
        <v/>
      </c>
      <c r="P55" s="37">
        <f>IF($A55="","",IF($F55="是","⛔淘汰(一票否决)",IF($O55&lt;='参数配置'!$B$12,"⭐优先上架Top N",IF($N55&gt;='参数配置'!$B$13,"观察跟进","暂缓/优化后再评"))))</f>
        <v/>
      </c>
    </row>
    <row r="56">
      <c r="A56" s="52" t="n"/>
      <c r="B56" s="46">
        <f>IFERROR(VLOOKUP($A56,'SKU主表'!$A:$M,2,0),"")</f>
        <v/>
      </c>
      <c r="C56" s="47">
        <f>IFERROR(VLOOKUP($A56,'SKU主表'!$A:$M,9,0),"")</f>
        <v/>
      </c>
      <c r="D56" s="52" t="n"/>
      <c r="E56" s="52" t="n"/>
      <c r="F56" s="48">
        <f>IF($A56="","",IF(OR($C56="禁售",$C56="需资质",$D56="是",$E56="是"),"是","否"))</f>
        <v/>
      </c>
      <c r="G56" s="53" t="n"/>
      <c r="H56" s="53" t="n"/>
      <c r="I56" s="53" t="n"/>
      <c r="J56" s="53" t="n"/>
      <c r="K56" s="53" t="n"/>
      <c r="L56" s="53" t="n"/>
      <c r="M56" s="53" t="n"/>
      <c r="N56" s="50">
        <f>IF($A56="","",IF($F56="是",0,SUMPRODUCT($G56:$M56,$G$3:$M$3)))</f>
        <v/>
      </c>
      <c r="O56" s="51">
        <f>IF(OR($A56="",$N56=""),"",RANK($N56,$N$5:$N$204,0))</f>
        <v/>
      </c>
      <c r="P56" s="37">
        <f>IF($A56="","",IF($F56="是","⛔淘汰(一票否决)",IF($O56&lt;='参数配置'!$B$12,"⭐优先上架Top N",IF($N56&gt;='参数配置'!$B$13,"观察跟进","暂缓/优化后再评"))))</f>
        <v/>
      </c>
    </row>
    <row r="57">
      <c r="A57" s="52" t="n"/>
      <c r="B57" s="46">
        <f>IFERROR(VLOOKUP($A57,'SKU主表'!$A:$M,2,0),"")</f>
        <v/>
      </c>
      <c r="C57" s="47">
        <f>IFERROR(VLOOKUP($A57,'SKU主表'!$A:$M,9,0),"")</f>
        <v/>
      </c>
      <c r="D57" s="52" t="n"/>
      <c r="E57" s="52" t="n"/>
      <c r="F57" s="48">
        <f>IF($A57="","",IF(OR($C57="禁售",$C57="需资质",$D57="是",$E57="是"),"是","否"))</f>
        <v/>
      </c>
      <c r="G57" s="53" t="n"/>
      <c r="H57" s="53" t="n"/>
      <c r="I57" s="53" t="n"/>
      <c r="J57" s="53" t="n"/>
      <c r="K57" s="53" t="n"/>
      <c r="L57" s="53" t="n"/>
      <c r="M57" s="53" t="n"/>
      <c r="N57" s="50">
        <f>IF($A57="","",IF($F57="是",0,SUMPRODUCT($G57:$M57,$G$3:$M$3)))</f>
        <v/>
      </c>
      <c r="O57" s="51">
        <f>IF(OR($A57="",$N57=""),"",RANK($N57,$N$5:$N$204,0))</f>
        <v/>
      </c>
      <c r="P57" s="37">
        <f>IF($A57="","",IF($F57="是","⛔淘汰(一票否决)",IF($O57&lt;='参数配置'!$B$12,"⭐优先上架Top N",IF($N57&gt;='参数配置'!$B$13,"观察跟进","暂缓/优化后再评"))))</f>
        <v/>
      </c>
    </row>
    <row r="58">
      <c r="A58" s="52" t="n"/>
      <c r="B58" s="46">
        <f>IFERROR(VLOOKUP($A58,'SKU主表'!$A:$M,2,0),"")</f>
        <v/>
      </c>
      <c r="C58" s="47">
        <f>IFERROR(VLOOKUP($A58,'SKU主表'!$A:$M,9,0),"")</f>
        <v/>
      </c>
      <c r="D58" s="52" t="n"/>
      <c r="E58" s="52" t="n"/>
      <c r="F58" s="48">
        <f>IF($A58="","",IF(OR($C58="禁售",$C58="需资质",$D58="是",$E58="是"),"是","否"))</f>
        <v/>
      </c>
      <c r="G58" s="53" t="n"/>
      <c r="H58" s="53" t="n"/>
      <c r="I58" s="53" t="n"/>
      <c r="J58" s="53" t="n"/>
      <c r="K58" s="53" t="n"/>
      <c r="L58" s="53" t="n"/>
      <c r="M58" s="53" t="n"/>
      <c r="N58" s="50">
        <f>IF($A58="","",IF($F58="是",0,SUMPRODUCT($G58:$M58,$G$3:$M$3)))</f>
        <v/>
      </c>
      <c r="O58" s="51">
        <f>IF(OR($A58="",$N58=""),"",RANK($N58,$N$5:$N$204,0))</f>
        <v/>
      </c>
      <c r="P58" s="37">
        <f>IF($A58="","",IF($F58="是","⛔淘汰(一票否决)",IF($O58&lt;='参数配置'!$B$12,"⭐优先上架Top N",IF($N58&gt;='参数配置'!$B$13,"观察跟进","暂缓/优化后再评"))))</f>
        <v/>
      </c>
    </row>
    <row r="59">
      <c r="A59" s="52" t="n"/>
      <c r="B59" s="46">
        <f>IFERROR(VLOOKUP($A59,'SKU主表'!$A:$M,2,0),"")</f>
        <v/>
      </c>
      <c r="C59" s="47">
        <f>IFERROR(VLOOKUP($A59,'SKU主表'!$A:$M,9,0),"")</f>
        <v/>
      </c>
      <c r="D59" s="52" t="n"/>
      <c r="E59" s="52" t="n"/>
      <c r="F59" s="48">
        <f>IF($A59="","",IF(OR($C59="禁售",$C59="需资质",$D59="是",$E59="是"),"是","否"))</f>
        <v/>
      </c>
      <c r="G59" s="53" t="n"/>
      <c r="H59" s="53" t="n"/>
      <c r="I59" s="53" t="n"/>
      <c r="J59" s="53" t="n"/>
      <c r="K59" s="53" t="n"/>
      <c r="L59" s="53" t="n"/>
      <c r="M59" s="53" t="n"/>
      <c r="N59" s="50">
        <f>IF($A59="","",IF($F59="是",0,SUMPRODUCT($G59:$M59,$G$3:$M$3)))</f>
        <v/>
      </c>
      <c r="O59" s="51">
        <f>IF(OR($A59="",$N59=""),"",RANK($N59,$N$5:$N$204,0))</f>
        <v/>
      </c>
      <c r="P59" s="37">
        <f>IF($A59="","",IF($F59="是","⛔淘汰(一票否决)",IF($O59&lt;='参数配置'!$B$12,"⭐优先上架Top N",IF($N59&gt;='参数配置'!$B$13,"观察跟进","暂缓/优化后再评"))))</f>
        <v/>
      </c>
    </row>
    <row r="60">
      <c r="A60" s="52" t="n"/>
      <c r="B60" s="46">
        <f>IFERROR(VLOOKUP($A60,'SKU主表'!$A:$M,2,0),"")</f>
        <v/>
      </c>
      <c r="C60" s="47">
        <f>IFERROR(VLOOKUP($A60,'SKU主表'!$A:$M,9,0),"")</f>
        <v/>
      </c>
      <c r="D60" s="52" t="n"/>
      <c r="E60" s="52" t="n"/>
      <c r="F60" s="48">
        <f>IF($A60="","",IF(OR($C60="禁售",$C60="需资质",$D60="是",$E60="是"),"是","否"))</f>
        <v/>
      </c>
      <c r="G60" s="53" t="n"/>
      <c r="H60" s="53" t="n"/>
      <c r="I60" s="53" t="n"/>
      <c r="J60" s="53" t="n"/>
      <c r="K60" s="53" t="n"/>
      <c r="L60" s="53" t="n"/>
      <c r="M60" s="53" t="n"/>
      <c r="N60" s="50">
        <f>IF($A60="","",IF($F60="是",0,SUMPRODUCT($G60:$M60,$G$3:$M$3)))</f>
        <v/>
      </c>
      <c r="O60" s="51">
        <f>IF(OR($A60="",$N60=""),"",RANK($N60,$N$5:$N$204,0))</f>
        <v/>
      </c>
      <c r="P60" s="37">
        <f>IF($A60="","",IF($F60="是","⛔淘汰(一票否决)",IF($O60&lt;='参数配置'!$B$12,"⭐优先上架Top N",IF($N60&gt;='参数配置'!$B$13,"观察跟进","暂缓/优化后再评"))))</f>
        <v/>
      </c>
    </row>
    <row r="61">
      <c r="A61" s="52" t="n"/>
      <c r="B61" s="46">
        <f>IFERROR(VLOOKUP($A61,'SKU主表'!$A:$M,2,0),"")</f>
        <v/>
      </c>
      <c r="C61" s="47">
        <f>IFERROR(VLOOKUP($A61,'SKU主表'!$A:$M,9,0),"")</f>
        <v/>
      </c>
      <c r="D61" s="52" t="n"/>
      <c r="E61" s="52" t="n"/>
      <c r="F61" s="48">
        <f>IF($A61="","",IF(OR($C61="禁售",$C61="需资质",$D61="是",$E61="是"),"是","否"))</f>
        <v/>
      </c>
      <c r="G61" s="53" t="n"/>
      <c r="H61" s="53" t="n"/>
      <c r="I61" s="53" t="n"/>
      <c r="J61" s="53" t="n"/>
      <c r="K61" s="53" t="n"/>
      <c r="L61" s="53" t="n"/>
      <c r="M61" s="53" t="n"/>
      <c r="N61" s="50">
        <f>IF($A61="","",IF($F61="是",0,SUMPRODUCT($G61:$M61,$G$3:$M$3)))</f>
        <v/>
      </c>
      <c r="O61" s="51">
        <f>IF(OR($A61="",$N61=""),"",RANK($N61,$N$5:$N$204,0))</f>
        <v/>
      </c>
      <c r="P61" s="37">
        <f>IF($A61="","",IF($F61="是","⛔淘汰(一票否决)",IF($O61&lt;='参数配置'!$B$12,"⭐优先上架Top N",IF($N61&gt;='参数配置'!$B$13,"观察跟进","暂缓/优化后再评"))))</f>
        <v/>
      </c>
    </row>
    <row r="62">
      <c r="A62" s="52" t="n"/>
      <c r="B62" s="46">
        <f>IFERROR(VLOOKUP($A62,'SKU主表'!$A:$M,2,0),"")</f>
        <v/>
      </c>
      <c r="C62" s="47">
        <f>IFERROR(VLOOKUP($A62,'SKU主表'!$A:$M,9,0),"")</f>
        <v/>
      </c>
      <c r="D62" s="52" t="n"/>
      <c r="E62" s="52" t="n"/>
      <c r="F62" s="48">
        <f>IF($A62="","",IF(OR($C62="禁售",$C62="需资质",$D62="是",$E62="是"),"是","否"))</f>
        <v/>
      </c>
      <c r="G62" s="53" t="n"/>
      <c r="H62" s="53" t="n"/>
      <c r="I62" s="53" t="n"/>
      <c r="J62" s="53" t="n"/>
      <c r="K62" s="53" t="n"/>
      <c r="L62" s="53" t="n"/>
      <c r="M62" s="53" t="n"/>
      <c r="N62" s="50">
        <f>IF($A62="","",IF($F62="是",0,SUMPRODUCT($G62:$M62,$G$3:$M$3)))</f>
        <v/>
      </c>
      <c r="O62" s="51">
        <f>IF(OR($A62="",$N62=""),"",RANK($N62,$N$5:$N$204,0))</f>
        <v/>
      </c>
      <c r="P62" s="37">
        <f>IF($A62="","",IF($F62="是","⛔淘汰(一票否决)",IF($O62&lt;='参数配置'!$B$12,"⭐优先上架Top N",IF($N62&gt;='参数配置'!$B$13,"观察跟进","暂缓/优化后再评"))))</f>
        <v/>
      </c>
    </row>
    <row r="63">
      <c r="A63" s="52" t="n"/>
      <c r="B63" s="46">
        <f>IFERROR(VLOOKUP($A63,'SKU主表'!$A:$M,2,0),"")</f>
        <v/>
      </c>
      <c r="C63" s="47">
        <f>IFERROR(VLOOKUP($A63,'SKU主表'!$A:$M,9,0),"")</f>
        <v/>
      </c>
      <c r="D63" s="52" t="n"/>
      <c r="E63" s="52" t="n"/>
      <c r="F63" s="48">
        <f>IF($A63="","",IF(OR($C63="禁售",$C63="需资质",$D63="是",$E63="是"),"是","否"))</f>
        <v/>
      </c>
      <c r="G63" s="53" t="n"/>
      <c r="H63" s="53" t="n"/>
      <c r="I63" s="53" t="n"/>
      <c r="J63" s="53" t="n"/>
      <c r="K63" s="53" t="n"/>
      <c r="L63" s="53" t="n"/>
      <c r="M63" s="53" t="n"/>
      <c r="N63" s="50">
        <f>IF($A63="","",IF($F63="是",0,SUMPRODUCT($G63:$M63,$G$3:$M$3)))</f>
        <v/>
      </c>
      <c r="O63" s="51">
        <f>IF(OR($A63="",$N63=""),"",RANK($N63,$N$5:$N$204,0))</f>
        <v/>
      </c>
      <c r="P63" s="37">
        <f>IF($A63="","",IF($F63="是","⛔淘汰(一票否决)",IF($O63&lt;='参数配置'!$B$12,"⭐优先上架Top N",IF($N63&gt;='参数配置'!$B$13,"观察跟进","暂缓/优化后再评"))))</f>
        <v/>
      </c>
    </row>
    <row r="64">
      <c r="A64" s="52" t="n"/>
      <c r="B64" s="46">
        <f>IFERROR(VLOOKUP($A64,'SKU主表'!$A:$M,2,0),"")</f>
        <v/>
      </c>
      <c r="C64" s="47">
        <f>IFERROR(VLOOKUP($A64,'SKU主表'!$A:$M,9,0),"")</f>
        <v/>
      </c>
      <c r="D64" s="52" t="n"/>
      <c r="E64" s="52" t="n"/>
      <c r="F64" s="48">
        <f>IF($A64="","",IF(OR($C64="禁售",$C64="需资质",$D64="是",$E64="是"),"是","否"))</f>
        <v/>
      </c>
      <c r="G64" s="53" t="n"/>
      <c r="H64" s="53" t="n"/>
      <c r="I64" s="53" t="n"/>
      <c r="J64" s="53" t="n"/>
      <c r="K64" s="53" t="n"/>
      <c r="L64" s="53" t="n"/>
      <c r="M64" s="53" t="n"/>
      <c r="N64" s="50">
        <f>IF($A64="","",IF($F64="是",0,SUMPRODUCT($G64:$M64,$G$3:$M$3)))</f>
        <v/>
      </c>
      <c r="O64" s="51">
        <f>IF(OR($A64="",$N64=""),"",RANK($N64,$N$5:$N$204,0))</f>
        <v/>
      </c>
      <c r="P64" s="37">
        <f>IF($A64="","",IF($F64="是","⛔淘汰(一票否决)",IF($O64&lt;='参数配置'!$B$12,"⭐优先上架Top N",IF($N64&gt;='参数配置'!$B$13,"观察跟进","暂缓/优化后再评"))))</f>
        <v/>
      </c>
    </row>
    <row r="65">
      <c r="A65" s="52" t="n"/>
      <c r="B65" s="46">
        <f>IFERROR(VLOOKUP($A65,'SKU主表'!$A:$M,2,0),"")</f>
        <v/>
      </c>
      <c r="C65" s="47">
        <f>IFERROR(VLOOKUP($A65,'SKU主表'!$A:$M,9,0),"")</f>
        <v/>
      </c>
      <c r="D65" s="52" t="n"/>
      <c r="E65" s="52" t="n"/>
      <c r="F65" s="48">
        <f>IF($A65="","",IF(OR($C65="禁售",$C65="需资质",$D65="是",$E65="是"),"是","否"))</f>
        <v/>
      </c>
      <c r="G65" s="53" t="n"/>
      <c r="H65" s="53" t="n"/>
      <c r="I65" s="53" t="n"/>
      <c r="J65" s="53" t="n"/>
      <c r="K65" s="53" t="n"/>
      <c r="L65" s="53" t="n"/>
      <c r="M65" s="53" t="n"/>
      <c r="N65" s="50">
        <f>IF($A65="","",IF($F65="是",0,SUMPRODUCT($G65:$M65,$G$3:$M$3)))</f>
        <v/>
      </c>
      <c r="O65" s="51">
        <f>IF(OR($A65="",$N65=""),"",RANK($N65,$N$5:$N$204,0))</f>
        <v/>
      </c>
      <c r="P65" s="37">
        <f>IF($A65="","",IF($F65="是","⛔淘汰(一票否决)",IF($O65&lt;='参数配置'!$B$12,"⭐优先上架Top N",IF($N65&gt;='参数配置'!$B$13,"观察跟进","暂缓/优化后再评"))))</f>
        <v/>
      </c>
    </row>
    <row r="66">
      <c r="A66" s="52" t="n"/>
      <c r="B66" s="46">
        <f>IFERROR(VLOOKUP($A66,'SKU主表'!$A:$M,2,0),"")</f>
        <v/>
      </c>
      <c r="C66" s="47">
        <f>IFERROR(VLOOKUP($A66,'SKU主表'!$A:$M,9,0),"")</f>
        <v/>
      </c>
      <c r="D66" s="52" t="n"/>
      <c r="E66" s="52" t="n"/>
      <c r="F66" s="48">
        <f>IF($A66="","",IF(OR($C66="禁售",$C66="需资质",$D66="是",$E66="是"),"是","否"))</f>
        <v/>
      </c>
      <c r="G66" s="53" t="n"/>
      <c r="H66" s="53" t="n"/>
      <c r="I66" s="53" t="n"/>
      <c r="J66" s="53" t="n"/>
      <c r="K66" s="53" t="n"/>
      <c r="L66" s="53" t="n"/>
      <c r="M66" s="53" t="n"/>
      <c r="N66" s="50">
        <f>IF($A66="","",IF($F66="是",0,SUMPRODUCT($G66:$M66,$G$3:$M$3)))</f>
        <v/>
      </c>
      <c r="O66" s="51">
        <f>IF(OR($A66="",$N66=""),"",RANK($N66,$N$5:$N$204,0))</f>
        <v/>
      </c>
      <c r="P66" s="37">
        <f>IF($A66="","",IF($F66="是","⛔淘汰(一票否决)",IF($O66&lt;='参数配置'!$B$12,"⭐优先上架Top N",IF($N66&gt;='参数配置'!$B$13,"观察跟进","暂缓/优化后再评"))))</f>
        <v/>
      </c>
    </row>
    <row r="67">
      <c r="A67" s="52" t="n"/>
      <c r="B67" s="46">
        <f>IFERROR(VLOOKUP($A67,'SKU主表'!$A:$M,2,0),"")</f>
        <v/>
      </c>
      <c r="C67" s="47">
        <f>IFERROR(VLOOKUP($A67,'SKU主表'!$A:$M,9,0),"")</f>
        <v/>
      </c>
      <c r="D67" s="52" t="n"/>
      <c r="E67" s="52" t="n"/>
      <c r="F67" s="48">
        <f>IF($A67="","",IF(OR($C67="禁售",$C67="需资质",$D67="是",$E67="是"),"是","否"))</f>
        <v/>
      </c>
      <c r="G67" s="53" t="n"/>
      <c r="H67" s="53" t="n"/>
      <c r="I67" s="53" t="n"/>
      <c r="J67" s="53" t="n"/>
      <c r="K67" s="53" t="n"/>
      <c r="L67" s="53" t="n"/>
      <c r="M67" s="53" t="n"/>
      <c r="N67" s="50">
        <f>IF($A67="","",IF($F67="是",0,SUMPRODUCT($G67:$M67,$G$3:$M$3)))</f>
        <v/>
      </c>
      <c r="O67" s="51">
        <f>IF(OR($A67="",$N67=""),"",RANK($N67,$N$5:$N$204,0))</f>
        <v/>
      </c>
      <c r="P67" s="37">
        <f>IF($A67="","",IF($F67="是","⛔淘汰(一票否决)",IF($O67&lt;='参数配置'!$B$12,"⭐优先上架Top N",IF($N67&gt;='参数配置'!$B$13,"观察跟进","暂缓/优化后再评"))))</f>
        <v/>
      </c>
    </row>
    <row r="68">
      <c r="A68" s="52" t="n"/>
      <c r="B68" s="46">
        <f>IFERROR(VLOOKUP($A68,'SKU主表'!$A:$M,2,0),"")</f>
        <v/>
      </c>
      <c r="C68" s="47">
        <f>IFERROR(VLOOKUP($A68,'SKU主表'!$A:$M,9,0),"")</f>
        <v/>
      </c>
      <c r="D68" s="52" t="n"/>
      <c r="E68" s="52" t="n"/>
      <c r="F68" s="48">
        <f>IF($A68="","",IF(OR($C68="禁售",$C68="需资质",$D68="是",$E68="是"),"是","否"))</f>
        <v/>
      </c>
      <c r="G68" s="53" t="n"/>
      <c r="H68" s="53" t="n"/>
      <c r="I68" s="53" t="n"/>
      <c r="J68" s="53" t="n"/>
      <c r="K68" s="53" t="n"/>
      <c r="L68" s="53" t="n"/>
      <c r="M68" s="53" t="n"/>
      <c r="N68" s="50">
        <f>IF($A68="","",IF($F68="是",0,SUMPRODUCT($G68:$M68,$G$3:$M$3)))</f>
        <v/>
      </c>
      <c r="O68" s="51">
        <f>IF(OR($A68="",$N68=""),"",RANK($N68,$N$5:$N$204,0))</f>
        <v/>
      </c>
      <c r="P68" s="37">
        <f>IF($A68="","",IF($F68="是","⛔淘汰(一票否决)",IF($O68&lt;='参数配置'!$B$12,"⭐优先上架Top N",IF($N68&gt;='参数配置'!$B$13,"观察跟进","暂缓/优化后再评"))))</f>
        <v/>
      </c>
    </row>
    <row r="69">
      <c r="A69" s="52" t="n"/>
      <c r="B69" s="46">
        <f>IFERROR(VLOOKUP($A69,'SKU主表'!$A:$M,2,0),"")</f>
        <v/>
      </c>
      <c r="C69" s="47">
        <f>IFERROR(VLOOKUP($A69,'SKU主表'!$A:$M,9,0),"")</f>
        <v/>
      </c>
      <c r="D69" s="52" t="n"/>
      <c r="E69" s="52" t="n"/>
      <c r="F69" s="48">
        <f>IF($A69="","",IF(OR($C69="禁售",$C69="需资质",$D69="是",$E69="是"),"是","否"))</f>
        <v/>
      </c>
      <c r="G69" s="53" t="n"/>
      <c r="H69" s="53" t="n"/>
      <c r="I69" s="53" t="n"/>
      <c r="J69" s="53" t="n"/>
      <c r="K69" s="53" t="n"/>
      <c r="L69" s="53" t="n"/>
      <c r="M69" s="53" t="n"/>
      <c r="N69" s="50">
        <f>IF($A69="","",IF($F69="是",0,SUMPRODUCT($G69:$M69,$G$3:$M$3)))</f>
        <v/>
      </c>
      <c r="O69" s="51">
        <f>IF(OR($A69="",$N69=""),"",RANK($N69,$N$5:$N$204,0))</f>
        <v/>
      </c>
      <c r="P69" s="37">
        <f>IF($A69="","",IF($F69="是","⛔淘汰(一票否决)",IF($O69&lt;='参数配置'!$B$12,"⭐优先上架Top N",IF($N69&gt;='参数配置'!$B$13,"观察跟进","暂缓/优化后再评"))))</f>
        <v/>
      </c>
    </row>
    <row r="70">
      <c r="A70" s="52" t="n"/>
      <c r="B70" s="46">
        <f>IFERROR(VLOOKUP($A70,'SKU主表'!$A:$M,2,0),"")</f>
        <v/>
      </c>
      <c r="C70" s="47">
        <f>IFERROR(VLOOKUP($A70,'SKU主表'!$A:$M,9,0),"")</f>
        <v/>
      </c>
      <c r="D70" s="52" t="n"/>
      <c r="E70" s="52" t="n"/>
      <c r="F70" s="48">
        <f>IF($A70="","",IF(OR($C70="禁售",$C70="需资质",$D70="是",$E70="是"),"是","否"))</f>
        <v/>
      </c>
      <c r="G70" s="53" t="n"/>
      <c r="H70" s="53" t="n"/>
      <c r="I70" s="53" t="n"/>
      <c r="J70" s="53" t="n"/>
      <c r="K70" s="53" t="n"/>
      <c r="L70" s="53" t="n"/>
      <c r="M70" s="53" t="n"/>
      <c r="N70" s="50">
        <f>IF($A70="","",IF($F70="是",0,SUMPRODUCT($G70:$M70,$G$3:$M$3)))</f>
        <v/>
      </c>
      <c r="O70" s="51">
        <f>IF(OR($A70="",$N70=""),"",RANK($N70,$N$5:$N$204,0))</f>
        <v/>
      </c>
      <c r="P70" s="37">
        <f>IF($A70="","",IF($F70="是","⛔淘汰(一票否决)",IF($O70&lt;='参数配置'!$B$12,"⭐优先上架Top N",IF($N70&gt;='参数配置'!$B$13,"观察跟进","暂缓/优化后再评"))))</f>
        <v/>
      </c>
    </row>
    <row r="71">
      <c r="A71" s="52" t="n"/>
      <c r="B71" s="46">
        <f>IFERROR(VLOOKUP($A71,'SKU主表'!$A:$M,2,0),"")</f>
        <v/>
      </c>
      <c r="C71" s="47">
        <f>IFERROR(VLOOKUP($A71,'SKU主表'!$A:$M,9,0),"")</f>
        <v/>
      </c>
      <c r="D71" s="52" t="n"/>
      <c r="E71" s="52" t="n"/>
      <c r="F71" s="48">
        <f>IF($A71="","",IF(OR($C71="禁售",$C71="需资质",$D71="是",$E71="是"),"是","否"))</f>
        <v/>
      </c>
      <c r="G71" s="53" t="n"/>
      <c r="H71" s="53" t="n"/>
      <c r="I71" s="53" t="n"/>
      <c r="J71" s="53" t="n"/>
      <c r="K71" s="53" t="n"/>
      <c r="L71" s="53" t="n"/>
      <c r="M71" s="53" t="n"/>
      <c r="N71" s="50">
        <f>IF($A71="","",IF($F71="是",0,SUMPRODUCT($G71:$M71,$G$3:$M$3)))</f>
        <v/>
      </c>
      <c r="O71" s="51">
        <f>IF(OR($A71="",$N71=""),"",RANK($N71,$N$5:$N$204,0))</f>
        <v/>
      </c>
      <c r="P71" s="37">
        <f>IF($A71="","",IF($F71="是","⛔淘汰(一票否决)",IF($O71&lt;='参数配置'!$B$12,"⭐优先上架Top N",IF($N71&gt;='参数配置'!$B$13,"观察跟进","暂缓/优化后再评"))))</f>
        <v/>
      </c>
    </row>
    <row r="72">
      <c r="A72" s="52" t="n"/>
      <c r="B72" s="46">
        <f>IFERROR(VLOOKUP($A72,'SKU主表'!$A:$M,2,0),"")</f>
        <v/>
      </c>
      <c r="C72" s="47">
        <f>IFERROR(VLOOKUP($A72,'SKU主表'!$A:$M,9,0),"")</f>
        <v/>
      </c>
      <c r="D72" s="52" t="n"/>
      <c r="E72" s="52" t="n"/>
      <c r="F72" s="48">
        <f>IF($A72="","",IF(OR($C72="禁售",$C72="需资质",$D72="是",$E72="是"),"是","否"))</f>
        <v/>
      </c>
      <c r="G72" s="53" t="n"/>
      <c r="H72" s="53" t="n"/>
      <c r="I72" s="53" t="n"/>
      <c r="J72" s="53" t="n"/>
      <c r="K72" s="53" t="n"/>
      <c r="L72" s="53" t="n"/>
      <c r="M72" s="53" t="n"/>
      <c r="N72" s="50">
        <f>IF($A72="","",IF($F72="是",0,SUMPRODUCT($G72:$M72,$G$3:$M$3)))</f>
        <v/>
      </c>
      <c r="O72" s="51">
        <f>IF(OR($A72="",$N72=""),"",RANK($N72,$N$5:$N$204,0))</f>
        <v/>
      </c>
      <c r="P72" s="37">
        <f>IF($A72="","",IF($F72="是","⛔淘汰(一票否决)",IF($O72&lt;='参数配置'!$B$12,"⭐优先上架Top N",IF($N72&gt;='参数配置'!$B$13,"观察跟进","暂缓/优化后再评"))))</f>
        <v/>
      </c>
    </row>
    <row r="73">
      <c r="A73" s="52" t="n"/>
      <c r="B73" s="46">
        <f>IFERROR(VLOOKUP($A73,'SKU主表'!$A:$M,2,0),"")</f>
        <v/>
      </c>
      <c r="C73" s="47">
        <f>IFERROR(VLOOKUP($A73,'SKU主表'!$A:$M,9,0),"")</f>
        <v/>
      </c>
      <c r="D73" s="52" t="n"/>
      <c r="E73" s="52" t="n"/>
      <c r="F73" s="48">
        <f>IF($A73="","",IF(OR($C73="禁售",$C73="需资质",$D73="是",$E73="是"),"是","否"))</f>
        <v/>
      </c>
      <c r="G73" s="53" t="n"/>
      <c r="H73" s="53" t="n"/>
      <c r="I73" s="53" t="n"/>
      <c r="J73" s="53" t="n"/>
      <c r="K73" s="53" t="n"/>
      <c r="L73" s="53" t="n"/>
      <c r="M73" s="53" t="n"/>
      <c r="N73" s="50">
        <f>IF($A73="","",IF($F73="是",0,SUMPRODUCT($G73:$M73,$G$3:$M$3)))</f>
        <v/>
      </c>
      <c r="O73" s="51">
        <f>IF(OR($A73="",$N73=""),"",RANK($N73,$N$5:$N$204,0))</f>
        <v/>
      </c>
      <c r="P73" s="37">
        <f>IF($A73="","",IF($F73="是","⛔淘汰(一票否决)",IF($O73&lt;='参数配置'!$B$12,"⭐优先上架Top N",IF($N73&gt;='参数配置'!$B$13,"观察跟进","暂缓/优化后再评"))))</f>
        <v/>
      </c>
    </row>
    <row r="74">
      <c r="A74" s="52" t="n"/>
      <c r="B74" s="46">
        <f>IFERROR(VLOOKUP($A74,'SKU主表'!$A:$M,2,0),"")</f>
        <v/>
      </c>
      <c r="C74" s="47">
        <f>IFERROR(VLOOKUP($A74,'SKU主表'!$A:$M,9,0),"")</f>
        <v/>
      </c>
      <c r="D74" s="52" t="n"/>
      <c r="E74" s="52" t="n"/>
      <c r="F74" s="48">
        <f>IF($A74="","",IF(OR($C74="禁售",$C74="需资质",$D74="是",$E74="是"),"是","否"))</f>
        <v/>
      </c>
      <c r="G74" s="53" t="n"/>
      <c r="H74" s="53" t="n"/>
      <c r="I74" s="53" t="n"/>
      <c r="J74" s="53" t="n"/>
      <c r="K74" s="53" t="n"/>
      <c r="L74" s="53" t="n"/>
      <c r="M74" s="53" t="n"/>
      <c r="N74" s="50">
        <f>IF($A74="","",IF($F74="是",0,SUMPRODUCT($G74:$M74,$G$3:$M$3)))</f>
        <v/>
      </c>
      <c r="O74" s="51">
        <f>IF(OR($A74="",$N74=""),"",RANK($N74,$N$5:$N$204,0))</f>
        <v/>
      </c>
      <c r="P74" s="37">
        <f>IF($A74="","",IF($F74="是","⛔淘汰(一票否决)",IF($O74&lt;='参数配置'!$B$12,"⭐优先上架Top N",IF($N74&gt;='参数配置'!$B$13,"观察跟进","暂缓/优化后再评"))))</f>
        <v/>
      </c>
    </row>
    <row r="75">
      <c r="A75" s="52" t="n"/>
      <c r="B75" s="46">
        <f>IFERROR(VLOOKUP($A75,'SKU主表'!$A:$M,2,0),"")</f>
        <v/>
      </c>
      <c r="C75" s="47">
        <f>IFERROR(VLOOKUP($A75,'SKU主表'!$A:$M,9,0),"")</f>
        <v/>
      </c>
      <c r="D75" s="52" t="n"/>
      <c r="E75" s="52" t="n"/>
      <c r="F75" s="48">
        <f>IF($A75="","",IF(OR($C75="禁售",$C75="需资质",$D75="是",$E75="是"),"是","否"))</f>
        <v/>
      </c>
      <c r="G75" s="53" t="n"/>
      <c r="H75" s="53" t="n"/>
      <c r="I75" s="53" t="n"/>
      <c r="J75" s="53" t="n"/>
      <c r="K75" s="53" t="n"/>
      <c r="L75" s="53" t="n"/>
      <c r="M75" s="53" t="n"/>
      <c r="N75" s="50">
        <f>IF($A75="","",IF($F75="是",0,SUMPRODUCT($G75:$M75,$G$3:$M$3)))</f>
        <v/>
      </c>
      <c r="O75" s="51">
        <f>IF(OR($A75="",$N75=""),"",RANK($N75,$N$5:$N$204,0))</f>
        <v/>
      </c>
      <c r="P75" s="37">
        <f>IF($A75="","",IF($F75="是","⛔淘汰(一票否决)",IF($O75&lt;='参数配置'!$B$12,"⭐优先上架Top N",IF($N75&gt;='参数配置'!$B$13,"观察跟进","暂缓/优化后再评"))))</f>
        <v/>
      </c>
    </row>
    <row r="76">
      <c r="A76" s="52" t="n"/>
      <c r="B76" s="46">
        <f>IFERROR(VLOOKUP($A76,'SKU主表'!$A:$M,2,0),"")</f>
        <v/>
      </c>
      <c r="C76" s="47">
        <f>IFERROR(VLOOKUP($A76,'SKU主表'!$A:$M,9,0),"")</f>
        <v/>
      </c>
      <c r="D76" s="52" t="n"/>
      <c r="E76" s="52" t="n"/>
      <c r="F76" s="48">
        <f>IF($A76="","",IF(OR($C76="禁售",$C76="需资质",$D76="是",$E76="是"),"是","否"))</f>
        <v/>
      </c>
      <c r="G76" s="53" t="n"/>
      <c r="H76" s="53" t="n"/>
      <c r="I76" s="53" t="n"/>
      <c r="J76" s="53" t="n"/>
      <c r="K76" s="53" t="n"/>
      <c r="L76" s="53" t="n"/>
      <c r="M76" s="53" t="n"/>
      <c r="N76" s="50">
        <f>IF($A76="","",IF($F76="是",0,SUMPRODUCT($G76:$M76,$G$3:$M$3)))</f>
        <v/>
      </c>
      <c r="O76" s="51">
        <f>IF(OR($A76="",$N76=""),"",RANK($N76,$N$5:$N$204,0))</f>
        <v/>
      </c>
      <c r="P76" s="37">
        <f>IF($A76="","",IF($F76="是","⛔淘汰(一票否决)",IF($O76&lt;='参数配置'!$B$12,"⭐优先上架Top N",IF($N76&gt;='参数配置'!$B$13,"观察跟进","暂缓/优化后再评"))))</f>
        <v/>
      </c>
    </row>
    <row r="77">
      <c r="A77" s="52" t="n"/>
      <c r="B77" s="46">
        <f>IFERROR(VLOOKUP($A77,'SKU主表'!$A:$M,2,0),"")</f>
        <v/>
      </c>
      <c r="C77" s="47">
        <f>IFERROR(VLOOKUP($A77,'SKU主表'!$A:$M,9,0),"")</f>
        <v/>
      </c>
      <c r="D77" s="52" t="n"/>
      <c r="E77" s="52" t="n"/>
      <c r="F77" s="48">
        <f>IF($A77="","",IF(OR($C77="禁售",$C77="需资质",$D77="是",$E77="是"),"是","否"))</f>
        <v/>
      </c>
      <c r="G77" s="53" t="n"/>
      <c r="H77" s="53" t="n"/>
      <c r="I77" s="53" t="n"/>
      <c r="J77" s="53" t="n"/>
      <c r="K77" s="53" t="n"/>
      <c r="L77" s="53" t="n"/>
      <c r="M77" s="53" t="n"/>
      <c r="N77" s="50">
        <f>IF($A77="","",IF($F77="是",0,SUMPRODUCT($G77:$M77,$G$3:$M$3)))</f>
        <v/>
      </c>
      <c r="O77" s="51">
        <f>IF(OR($A77="",$N77=""),"",RANK($N77,$N$5:$N$204,0))</f>
        <v/>
      </c>
      <c r="P77" s="37">
        <f>IF($A77="","",IF($F77="是","⛔淘汰(一票否决)",IF($O77&lt;='参数配置'!$B$12,"⭐优先上架Top N",IF($N77&gt;='参数配置'!$B$13,"观察跟进","暂缓/优化后再评"))))</f>
        <v/>
      </c>
    </row>
    <row r="78">
      <c r="A78" s="52" t="n"/>
      <c r="B78" s="46">
        <f>IFERROR(VLOOKUP($A78,'SKU主表'!$A:$M,2,0),"")</f>
        <v/>
      </c>
      <c r="C78" s="47">
        <f>IFERROR(VLOOKUP($A78,'SKU主表'!$A:$M,9,0),"")</f>
        <v/>
      </c>
      <c r="D78" s="52" t="n"/>
      <c r="E78" s="52" t="n"/>
      <c r="F78" s="48">
        <f>IF($A78="","",IF(OR($C78="禁售",$C78="需资质",$D78="是",$E78="是"),"是","否"))</f>
        <v/>
      </c>
      <c r="G78" s="53" t="n"/>
      <c r="H78" s="53" t="n"/>
      <c r="I78" s="53" t="n"/>
      <c r="J78" s="53" t="n"/>
      <c r="K78" s="53" t="n"/>
      <c r="L78" s="53" t="n"/>
      <c r="M78" s="53" t="n"/>
      <c r="N78" s="50">
        <f>IF($A78="","",IF($F78="是",0,SUMPRODUCT($G78:$M78,$G$3:$M$3)))</f>
        <v/>
      </c>
      <c r="O78" s="51">
        <f>IF(OR($A78="",$N78=""),"",RANK($N78,$N$5:$N$204,0))</f>
        <v/>
      </c>
      <c r="P78" s="37">
        <f>IF($A78="","",IF($F78="是","⛔淘汰(一票否决)",IF($O78&lt;='参数配置'!$B$12,"⭐优先上架Top N",IF($N78&gt;='参数配置'!$B$13,"观察跟进","暂缓/优化后再评"))))</f>
        <v/>
      </c>
    </row>
    <row r="79">
      <c r="A79" s="52" t="n"/>
      <c r="B79" s="46">
        <f>IFERROR(VLOOKUP($A79,'SKU主表'!$A:$M,2,0),"")</f>
        <v/>
      </c>
      <c r="C79" s="47">
        <f>IFERROR(VLOOKUP($A79,'SKU主表'!$A:$M,9,0),"")</f>
        <v/>
      </c>
      <c r="D79" s="52" t="n"/>
      <c r="E79" s="52" t="n"/>
      <c r="F79" s="48">
        <f>IF($A79="","",IF(OR($C79="禁售",$C79="需资质",$D79="是",$E79="是"),"是","否"))</f>
        <v/>
      </c>
      <c r="G79" s="53" t="n"/>
      <c r="H79" s="53" t="n"/>
      <c r="I79" s="53" t="n"/>
      <c r="J79" s="53" t="n"/>
      <c r="K79" s="53" t="n"/>
      <c r="L79" s="53" t="n"/>
      <c r="M79" s="53" t="n"/>
      <c r="N79" s="50">
        <f>IF($A79="","",IF($F79="是",0,SUMPRODUCT($G79:$M79,$G$3:$M$3)))</f>
        <v/>
      </c>
      <c r="O79" s="51">
        <f>IF(OR($A79="",$N79=""),"",RANK($N79,$N$5:$N$204,0))</f>
        <v/>
      </c>
      <c r="P79" s="37">
        <f>IF($A79="","",IF($F79="是","⛔淘汰(一票否决)",IF($O79&lt;='参数配置'!$B$12,"⭐优先上架Top N",IF($N79&gt;='参数配置'!$B$13,"观察跟进","暂缓/优化后再评"))))</f>
        <v/>
      </c>
    </row>
    <row r="80">
      <c r="A80" s="52" t="n"/>
      <c r="B80" s="46">
        <f>IFERROR(VLOOKUP($A80,'SKU主表'!$A:$M,2,0),"")</f>
        <v/>
      </c>
      <c r="C80" s="47">
        <f>IFERROR(VLOOKUP($A80,'SKU主表'!$A:$M,9,0),"")</f>
        <v/>
      </c>
      <c r="D80" s="52" t="n"/>
      <c r="E80" s="52" t="n"/>
      <c r="F80" s="48">
        <f>IF($A80="","",IF(OR($C80="禁售",$C80="需资质",$D80="是",$E80="是"),"是","否"))</f>
        <v/>
      </c>
      <c r="G80" s="53" t="n"/>
      <c r="H80" s="53" t="n"/>
      <c r="I80" s="53" t="n"/>
      <c r="J80" s="53" t="n"/>
      <c r="K80" s="53" t="n"/>
      <c r="L80" s="53" t="n"/>
      <c r="M80" s="53" t="n"/>
      <c r="N80" s="50">
        <f>IF($A80="","",IF($F80="是",0,SUMPRODUCT($G80:$M80,$G$3:$M$3)))</f>
        <v/>
      </c>
      <c r="O80" s="51">
        <f>IF(OR($A80="",$N80=""),"",RANK($N80,$N$5:$N$204,0))</f>
        <v/>
      </c>
      <c r="P80" s="37">
        <f>IF($A80="","",IF($F80="是","⛔淘汰(一票否决)",IF($O80&lt;='参数配置'!$B$12,"⭐优先上架Top N",IF($N80&gt;='参数配置'!$B$13,"观察跟进","暂缓/优化后再评"))))</f>
        <v/>
      </c>
    </row>
    <row r="81">
      <c r="A81" s="52" t="n"/>
      <c r="B81" s="46">
        <f>IFERROR(VLOOKUP($A81,'SKU主表'!$A:$M,2,0),"")</f>
        <v/>
      </c>
      <c r="C81" s="47">
        <f>IFERROR(VLOOKUP($A81,'SKU主表'!$A:$M,9,0),"")</f>
        <v/>
      </c>
      <c r="D81" s="52" t="n"/>
      <c r="E81" s="52" t="n"/>
      <c r="F81" s="48">
        <f>IF($A81="","",IF(OR($C81="禁售",$C81="需资质",$D81="是",$E81="是"),"是","否"))</f>
        <v/>
      </c>
      <c r="G81" s="53" t="n"/>
      <c r="H81" s="53" t="n"/>
      <c r="I81" s="53" t="n"/>
      <c r="J81" s="53" t="n"/>
      <c r="K81" s="53" t="n"/>
      <c r="L81" s="53" t="n"/>
      <c r="M81" s="53" t="n"/>
      <c r="N81" s="50">
        <f>IF($A81="","",IF($F81="是",0,SUMPRODUCT($G81:$M81,$G$3:$M$3)))</f>
        <v/>
      </c>
      <c r="O81" s="51">
        <f>IF(OR($A81="",$N81=""),"",RANK($N81,$N$5:$N$204,0))</f>
        <v/>
      </c>
      <c r="P81" s="37">
        <f>IF($A81="","",IF($F81="是","⛔淘汰(一票否决)",IF($O81&lt;='参数配置'!$B$12,"⭐优先上架Top N",IF($N81&gt;='参数配置'!$B$13,"观察跟进","暂缓/优化后再评"))))</f>
        <v/>
      </c>
    </row>
    <row r="82">
      <c r="A82" s="52" t="n"/>
      <c r="B82" s="46">
        <f>IFERROR(VLOOKUP($A82,'SKU主表'!$A:$M,2,0),"")</f>
        <v/>
      </c>
      <c r="C82" s="47">
        <f>IFERROR(VLOOKUP($A82,'SKU主表'!$A:$M,9,0),"")</f>
        <v/>
      </c>
      <c r="D82" s="52" t="n"/>
      <c r="E82" s="52" t="n"/>
      <c r="F82" s="48">
        <f>IF($A82="","",IF(OR($C82="禁售",$C82="需资质",$D82="是",$E82="是"),"是","否"))</f>
        <v/>
      </c>
      <c r="G82" s="53" t="n"/>
      <c r="H82" s="53" t="n"/>
      <c r="I82" s="53" t="n"/>
      <c r="J82" s="53" t="n"/>
      <c r="K82" s="53" t="n"/>
      <c r="L82" s="53" t="n"/>
      <c r="M82" s="53" t="n"/>
      <c r="N82" s="50">
        <f>IF($A82="","",IF($F82="是",0,SUMPRODUCT($G82:$M82,$G$3:$M$3)))</f>
        <v/>
      </c>
      <c r="O82" s="51">
        <f>IF(OR($A82="",$N82=""),"",RANK($N82,$N$5:$N$204,0))</f>
        <v/>
      </c>
      <c r="P82" s="37">
        <f>IF($A82="","",IF($F82="是","⛔淘汰(一票否决)",IF($O82&lt;='参数配置'!$B$12,"⭐优先上架Top N",IF($N82&gt;='参数配置'!$B$13,"观察跟进","暂缓/优化后再评"))))</f>
        <v/>
      </c>
    </row>
    <row r="83">
      <c r="A83" s="52" t="n"/>
      <c r="B83" s="46">
        <f>IFERROR(VLOOKUP($A83,'SKU主表'!$A:$M,2,0),"")</f>
        <v/>
      </c>
      <c r="C83" s="47">
        <f>IFERROR(VLOOKUP($A83,'SKU主表'!$A:$M,9,0),"")</f>
        <v/>
      </c>
      <c r="D83" s="52" t="n"/>
      <c r="E83" s="52" t="n"/>
      <c r="F83" s="48">
        <f>IF($A83="","",IF(OR($C83="禁售",$C83="需资质",$D83="是",$E83="是"),"是","否"))</f>
        <v/>
      </c>
      <c r="G83" s="53" t="n"/>
      <c r="H83" s="53" t="n"/>
      <c r="I83" s="53" t="n"/>
      <c r="J83" s="53" t="n"/>
      <c r="K83" s="53" t="n"/>
      <c r="L83" s="53" t="n"/>
      <c r="M83" s="53" t="n"/>
      <c r="N83" s="50">
        <f>IF($A83="","",IF($F83="是",0,SUMPRODUCT($G83:$M83,$G$3:$M$3)))</f>
        <v/>
      </c>
      <c r="O83" s="51">
        <f>IF(OR($A83="",$N83=""),"",RANK($N83,$N$5:$N$204,0))</f>
        <v/>
      </c>
      <c r="P83" s="37">
        <f>IF($A83="","",IF($F83="是","⛔淘汰(一票否决)",IF($O83&lt;='参数配置'!$B$12,"⭐优先上架Top N",IF($N83&gt;='参数配置'!$B$13,"观察跟进","暂缓/优化后再评"))))</f>
        <v/>
      </c>
    </row>
    <row r="84">
      <c r="A84" s="52" t="n"/>
      <c r="B84" s="46">
        <f>IFERROR(VLOOKUP($A84,'SKU主表'!$A:$M,2,0),"")</f>
        <v/>
      </c>
      <c r="C84" s="47">
        <f>IFERROR(VLOOKUP($A84,'SKU主表'!$A:$M,9,0),"")</f>
        <v/>
      </c>
      <c r="D84" s="52" t="n"/>
      <c r="E84" s="52" t="n"/>
      <c r="F84" s="48">
        <f>IF($A84="","",IF(OR($C84="禁售",$C84="需资质",$D84="是",$E84="是"),"是","否"))</f>
        <v/>
      </c>
      <c r="G84" s="53" t="n"/>
      <c r="H84" s="53" t="n"/>
      <c r="I84" s="53" t="n"/>
      <c r="J84" s="53" t="n"/>
      <c r="K84" s="53" t="n"/>
      <c r="L84" s="53" t="n"/>
      <c r="M84" s="53" t="n"/>
      <c r="N84" s="50">
        <f>IF($A84="","",IF($F84="是",0,SUMPRODUCT($G84:$M84,$G$3:$M$3)))</f>
        <v/>
      </c>
      <c r="O84" s="51">
        <f>IF(OR($A84="",$N84=""),"",RANK($N84,$N$5:$N$204,0))</f>
        <v/>
      </c>
      <c r="P84" s="37">
        <f>IF($A84="","",IF($F84="是","⛔淘汰(一票否决)",IF($O84&lt;='参数配置'!$B$12,"⭐优先上架Top N",IF($N84&gt;='参数配置'!$B$13,"观察跟进","暂缓/优化后再评"))))</f>
        <v/>
      </c>
    </row>
    <row r="85">
      <c r="A85" s="52" t="n"/>
      <c r="B85" s="46">
        <f>IFERROR(VLOOKUP($A85,'SKU主表'!$A:$M,2,0),"")</f>
        <v/>
      </c>
      <c r="C85" s="47">
        <f>IFERROR(VLOOKUP($A85,'SKU主表'!$A:$M,9,0),"")</f>
        <v/>
      </c>
      <c r="D85" s="52" t="n"/>
      <c r="E85" s="52" t="n"/>
      <c r="F85" s="48">
        <f>IF($A85="","",IF(OR($C85="禁售",$C85="需资质",$D85="是",$E85="是"),"是","否"))</f>
        <v/>
      </c>
      <c r="G85" s="53" t="n"/>
      <c r="H85" s="53" t="n"/>
      <c r="I85" s="53" t="n"/>
      <c r="J85" s="53" t="n"/>
      <c r="K85" s="53" t="n"/>
      <c r="L85" s="53" t="n"/>
      <c r="M85" s="53" t="n"/>
      <c r="N85" s="50">
        <f>IF($A85="","",IF($F85="是",0,SUMPRODUCT($G85:$M85,$G$3:$M$3)))</f>
        <v/>
      </c>
      <c r="O85" s="51">
        <f>IF(OR($A85="",$N85=""),"",RANK($N85,$N$5:$N$204,0))</f>
        <v/>
      </c>
      <c r="P85" s="37">
        <f>IF($A85="","",IF($F85="是","⛔淘汰(一票否决)",IF($O85&lt;='参数配置'!$B$12,"⭐优先上架Top N",IF($N85&gt;='参数配置'!$B$13,"观察跟进","暂缓/优化后再评"))))</f>
        <v/>
      </c>
    </row>
    <row r="86">
      <c r="A86" s="52" t="n"/>
      <c r="B86" s="46">
        <f>IFERROR(VLOOKUP($A86,'SKU主表'!$A:$M,2,0),"")</f>
        <v/>
      </c>
      <c r="C86" s="47">
        <f>IFERROR(VLOOKUP($A86,'SKU主表'!$A:$M,9,0),"")</f>
        <v/>
      </c>
      <c r="D86" s="52" t="n"/>
      <c r="E86" s="52" t="n"/>
      <c r="F86" s="48">
        <f>IF($A86="","",IF(OR($C86="禁售",$C86="需资质",$D86="是",$E86="是"),"是","否"))</f>
        <v/>
      </c>
      <c r="G86" s="53" t="n"/>
      <c r="H86" s="53" t="n"/>
      <c r="I86" s="53" t="n"/>
      <c r="J86" s="53" t="n"/>
      <c r="K86" s="53" t="n"/>
      <c r="L86" s="53" t="n"/>
      <c r="M86" s="53" t="n"/>
      <c r="N86" s="50">
        <f>IF($A86="","",IF($F86="是",0,SUMPRODUCT($G86:$M86,$G$3:$M$3)))</f>
        <v/>
      </c>
      <c r="O86" s="51">
        <f>IF(OR($A86="",$N86=""),"",RANK($N86,$N$5:$N$204,0))</f>
        <v/>
      </c>
      <c r="P86" s="37">
        <f>IF($A86="","",IF($F86="是","⛔淘汰(一票否决)",IF($O86&lt;='参数配置'!$B$12,"⭐优先上架Top N",IF($N86&gt;='参数配置'!$B$13,"观察跟进","暂缓/优化后再评"))))</f>
        <v/>
      </c>
    </row>
    <row r="87">
      <c r="A87" s="52" t="n"/>
      <c r="B87" s="46">
        <f>IFERROR(VLOOKUP($A87,'SKU主表'!$A:$M,2,0),"")</f>
        <v/>
      </c>
      <c r="C87" s="47">
        <f>IFERROR(VLOOKUP($A87,'SKU主表'!$A:$M,9,0),"")</f>
        <v/>
      </c>
      <c r="D87" s="52" t="n"/>
      <c r="E87" s="52" t="n"/>
      <c r="F87" s="48">
        <f>IF($A87="","",IF(OR($C87="禁售",$C87="需资质",$D87="是",$E87="是"),"是","否"))</f>
        <v/>
      </c>
      <c r="G87" s="53" t="n"/>
      <c r="H87" s="53" t="n"/>
      <c r="I87" s="53" t="n"/>
      <c r="J87" s="53" t="n"/>
      <c r="K87" s="53" t="n"/>
      <c r="L87" s="53" t="n"/>
      <c r="M87" s="53" t="n"/>
      <c r="N87" s="50">
        <f>IF($A87="","",IF($F87="是",0,SUMPRODUCT($G87:$M87,$G$3:$M$3)))</f>
        <v/>
      </c>
      <c r="O87" s="51">
        <f>IF(OR($A87="",$N87=""),"",RANK($N87,$N$5:$N$204,0))</f>
        <v/>
      </c>
      <c r="P87" s="37">
        <f>IF($A87="","",IF($F87="是","⛔淘汰(一票否决)",IF($O87&lt;='参数配置'!$B$12,"⭐优先上架Top N",IF($N87&gt;='参数配置'!$B$13,"观察跟进","暂缓/优化后再评"))))</f>
        <v/>
      </c>
    </row>
    <row r="88">
      <c r="A88" s="52" t="n"/>
      <c r="B88" s="46">
        <f>IFERROR(VLOOKUP($A88,'SKU主表'!$A:$M,2,0),"")</f>
        <v/>
      </c>
      <c r="C88" s="47">
        <f>IFERROR(VLOOKUP($A88,'SKU主表'!$A:$M,9,0),"")</f>
        <v/>
      </c>
      <c r="D88" s="52" t="n"/>
      <c r="E88" s="52" t="n"/>
      <c r="F88" s="48">
        <f>IF($A88="","",IF(OR($C88="禁售",$C88="需资质",$D88="是",$E88="是"),"是","否"))</f>
        <v/>
      </c>
      <c r="G88" s="53" t="n"/>
      <c r="H88" s="53" t="n"/>
      <c r="I88" s="53" t="n"/>
      <c r="J88" s="53" t="n"/>
      <c r="K88" s="53" t="n"/>
      <c r="L88" s="53" t="n"/>
      <c r="M88" s="53" t="n"/>
      <c r="N88" s="50">
        <f>IF($A88="","",IF($F88="是",0,SUMPRODUCT($G88:$M88,$G$3:$M$3)))</f>
        <v/>
      </c>
      <c r="O88" s="51">
        <f>IF(OR($A88="",$N88=""),"",RANK($N88,$N$5:$N$204,0))</f>
        <v/>
      </c>
      <c r="P88" s="37">
        <f>IF($A88="","",IF($F88="是","⛔淘汰(一票否决)",IF($O88&lt;='参数配置'!$B$12,"⭐优先上架Top N",IF($N88&gt;='参数配置'!$B$13,"观察跟进","暂缓/优化后再评"))))</f>
        <v/>
      </c>
    </row>
    <row r="89">
      <c r="A89" s="52" t="n"/>
      <c r="B89" s="46">
        <f>IFERROR(VLOOKUP($A89,'SKU主表'!$A:$M,2,0),"")</f>
        <v/>
      </c>
      <c r="C89" s="47">
        <f>IFERROR(VLOOKUP($A89,'SKU主表'!$A:$M,9,0),"")</f>
        <v/>
      </c>
      <c r="D89" s="52" t="n"/>
      <c r="E89" s="52" t="n"/>
      <c r="F89" s="48">
        <f>IF($A89="","",IF(OR($C89="禁售",$C89="需资质",$D89="是",$E89="是"),"是","否"))</f>
        <v/>
      </c>
      <c r="G89" s="53" t="n"/>
      <c r="H89" s="53" t="n"/>
      <c r="I89" s="53" t="n"/>
      <c r="J89" s="53" t="n"/>
      <c r="K89" s="53" t="n"/>
      <c r="L89" s="53" t="n"/>
      <c r="M89" s="53" t="n"/>
      <c r="N89" s="50">
        <f>IF($A89="","",IF($F89="是",0,SUMPRODUCT($G89:$M89,$G$3:$M$3)))</f>
        <v/>
      </c>
      <c r="O89" s="51">
        <f>IF(OR($A89="",$N89=""),"",RANK($N89,$N$5:$N$204,0))</f>
        <v/>
      </c>
      <c r="P89" s="37">
        <f>IF($A89="","",IF($F89="是","⛔淘汰(一票否决)",IF($O89&lt;='参数配置'!$B$12,"⭐优先上架Top N",IF($N89&gt;='参数配置'!$B$13,"观察跟进","暂缓/优化后再评"))))</f>
        <v/>
      </c>
    </row>
    <row r="90">
      <c r="A90" s="52" t="n"/>
      <c r="B90" s="46">
        <f>IFERROR(VLOOKUP($A90,'SKU主表'!$A:$M,2,0),"")</f>
        <v/>
      </c>
      <c r="C90" s="47">
        <f>IFERROR(VLOOKUP($A90,'SKU主表'!$A:$M,9,0),"")</f>
        <v/>
      </c>
      <c r="D90" s="52" t="n"/>
      <c r="E90" s="52" t="n"/>
      <c r="F90" s="48">
        <f>IF($A90="","",IF(OR($C90="禁售",$C90="需资质",$D90="是",$E90="是"),"是","否"))</f>
        <v/>
      </c>
      <c r="G90" s="53" t="n"/>
      <c r="H90" s="53" t="n"/>
      <c r="I90" s="53" t="n"/>
      <c r="J90" s="53" t="n"/>
      <c r="K90" s="53" t="n"/>
      <c r="L90" s="53" t="n"/>
      <c r="M90" s="53" t="n"/>
      <c r="N90" s="50">
        <f>IF($A90="","",IF($F90="是",0,SUMPRODUCT($G90:$M90,$G$3:$M$3)))</f>
        <v/>
      </c>
      <c r="O90" s="51">
        <f>IF(OR($A90="",$N90=""),"",RANK($N90,$N$5:$N$204,0))</f>
        <v/>
      </c>
      <c r="P90" s="37">
        <f>IF($A90="","",IF($F90="是","⛔淘汰(一票否决)",IF($O90&lt;='参数配置'!$B$12,"⭐优先上架Top N",IF($N90&gt;='参数配置'!$B$13,"观察跟进","暂缓/优化后再评"))))</f>
        <v/>
      </c>
    </row>
    <row r="91">
      <c r="A91" s="52" t="n"/>
      <c r="B91" s="46">
        <f>IFERROR(VLOOKUP($A91,'SKU主表'!$A:$M,2,0),"")</f>
        <v/>
      </c>
      <c r="C91" s="47">
        <f>IFERROR(VLOOKUP($A91,'SKU主表'!$A:$M,9,0),"")</f>
        <v/>
      </c>
      <c r="D91" s="52" t="n"/>
      <c r="E91" s="52" t="n"/>
      <c r="F91" s="48">
        <f>IF($A91="","",IF(OR($C91="禁售",$C91="需资质",$D91="是",$E91="是"),"是","否"))</f>
        <v/>
      </c>
      <c r="G91" s="53" t="n"/>
      <c r="H91" s="53" t="n"/>
      <c r="I91" s="53" t="n"/>
      <c r="J91" s="53" t="n"/>
      <c r="K91" s="53" t="n"/>
      <c r="L91" s="53" t="n"/>
      <c r="M91" s="53" t="n"/>
      <c r="N91" s="50">
        <f>IF($A91="","",IF($F91="是",0,SUMPRODUCT($G91:$M91,$G$3:$M$3)))</f>
        <v/>
      </c>
      <c r="O91" s="51">
        <f>IF(OR($A91="",$N91=""),"",RANK($N91,$N$5:$N$204,0))</f>
        <v/>
      </c>
      <c r="P91" s="37">
        <f>IF($A91="","",IF($F91="是","⛔淘汰(一票否决)",IF($O91&lt;='参数配置'!$B$12,"⭐优先上架Top N",IF($N91&gt;='参数配置'!$B$13,"观察跟进","暂缓/优化后再评"))))</f>
        <v/>
      </c>
    </row>
    <row r="92">
      <c r="A92" s="52" t="n"/>
      <c r="B92" s="46">
        <f>IFERROR(VLOOKUP($A92,'SKU主表'!$A:$M,2,0),"")</f>
        <v/>
      </c>
      <c r="C92" s="47">
        <f>IFERROR(VLOOKUP($A92,'SKU主表'!$A:$M,9,0),"")</f>
        <v/>
      </c>
      <c r="D92" s="52" t="n"/>
      <c r="E92" s="52" t="n"/>
      <c r="F92" s="48">
        <f>IF($A92="","",IF(OR($C92="禁售",$C92="需资质",$D92="是",$E92="是"),"是","否"))</f>
        <v/>
      </c>
      <c r="G92" s="53" t="n"/>
      <c r="H92" s="53" t="n"/>
      <c r="I92" s="53" t="n"/>
      <c r="J92" s="53" t="n"/>
      <c r="K92" s="53" t="n"/>
      <c r="L92" s="53" t="n"/>
      <c r="M92" s="53" t="n"/>
      <c r="N92" s="50">
        <f>IF($A92="","",IF($F92="是",0,SUMPRODUCT($G92:$M92,$G$3:$M$3)))</f>
        <v/>
      </c>
      <c r="O92" s="51">
        <f>IF(OR($A92="",$N92=""),"",RANK($N92,$N$5:$N$204,0))</f>
        <v/>
      </c>
      <c r="P92" s="37">
        <f>IF($A92="","",IF($F92="是","⛔淘汰(一票否决)",IF($O92&lt;='参数配置'!$B$12,"⭐优先上架Top N",IF($N92&gt;='参数配置'!$B$13,"观察跟进","暂缓/优化后再评"))))</f>
        <v/>
      </c>
    </row>
    <row r="93">
      <c r="A93" s="52" t="n"/>
      <c r="B93" s="46">
        <f>IFERROR(VLOOKUP($A93,'SKU主表'!$A:$M,2,0),"")</f>
        <v/>
      </c>
      <c r="C93" s="47">
        <f>IFERROR(VLOOKUP($A93,'SKU主表'!$A:$M,9,0),"")</f>
        <v/>
      </c>
      <c r="D93" s="52" t="n"/>
      <c r="E93" s="52" t="n"/>
      <c r="F93" s="48">
        <f>IF($A93="","",IF(OR($C93="禁售",$C93="需资质",$D93="是",$E93="是"),"是","否"))</f>
        <v/>
      </c>
      <c r="G93" s="53" t="n"/>
      <c r="H93" s="53" t="n"/>
      <c r="I93" s="53" t="n"/>
      <c r="J93" s="53" t="n"/>
      <c r="K93" s="53" t="n"/>
      <c r="L93" s="53" t="n"/>
      <c r="M93" s="53" t="n"/>
      <c r="N93" s="50">
        <f>IF($A93="","",IF($F93="是",0,SUMPRODUCT($G93:$M93,$G$3:$M$3)))</f>
        <v/>
      </c>
      <c r="O93" s="51">
        <f>IF(OR($A93="",$N93=""),"",RANK($N93,$N$5:$N$204,0))</f>
        <v/>
      </c>
      <c r="P93" s="37">
        <f>IF($A93="","",IF($F93="是","⛔淘汰(一票否决)",IF($O93&lt;='参数配置'!$B$12,"⭐优先上架Top N",IF($N93&gt;='参数配置'!$B$13,"观察跟进","暂缓/优化后再评"))))</f>
        <v/>
      </c>
    </row>
    <row r="94">
      <c r="A94" s="52" t="n"/>
      <c r="B94" s="46">
        <f>IFERROR(VLOOKUP($A94,'SKU主表'!$A:$M,2,0),"")</f>
        <v/>
      </c>
      <c r="C94" s="47">
        <f>IFERROR(VLOOKUP($A94,'SKU主表'!$A:$M,9,0),"")</f>
        <v/>
      </c>
      <c r="D94" s="52" t="n"/>
      <c r="E94" s="52" t="n"/>
      <c r="F94" s="48">
        <f>IF($A94="","",IF(OR($C94="禁售",$C94="需资质",$D94="是",$E94="是"),"是","否"))</f>
        <v/>
      </c>
      <c r="G94" s="53" t="n"/>
      <c r="H94" s="53" t="n"/>
      <c r="I94" s="53" t="n"/>
      <c r="J94" s="53" t="n"/>
      <c r="K94" s="53" t="n"/>
      <c r="L94" s="53" t="n"/>
      <c r="M94" s="53" t="n"/>
      <c r="N94" s="50">
        <f>IF($A94="","",IF($F94="是",0,SUMPRODUCT($G94:$M94,$G$3:$M$3)))</f>
        <v/>
      </c>
      <c r="O94" s="51">
        <f>IF(OR($A94="",$N94=""),"",RANK($N94,$N$5:$N$204,0))</f>
        <v/>
      </c>
      <c r="P94" s="37">
        <f>IF($A94="","",IF($F94="是","⛔淘汰(一票否决)",IF($O94&lt;='参数配置'!$B$12,"⭐优先上架Top N",IF($N94&gt;='参数配置'!$B$13,"观察跟进","暂缓/优化后再评"))))</f>
        <v/>
      </c>
    </row>
    <row r="95">
      <c r="A95" s="52" t="n"/>
      <c r="B95" s="46">
        <f>IFERROR(VLOOKUP($A95,'SKU主表'!$A:$M,2,0),"")</f>
        <v/>
      </c>
      <c r="C95" s="47">
        <f>IFERROR(VLOOKUP($A95,'SKU主表'!$A:$M,9,0),"")</f>
        <v/>
      </c>
      <c r="D95" s="52" t="n"/>
      <c r="E95" s="52" t="n"/>
      <c r="F95" s="48">
        <f>IF($A95="","",IF(OR($C95="禁售",$C95="需资质",$D95="是",$E95="是"),"是","否"))</f>
        <v/>
      </c>
      <c r="G95" s="53" t="n"/>
      <c r="H95" s="53" t="n"/>
      <c r="I95" s="53" t="n"/>
      <c r="J95" s="53" t="n"/>
      <c r="K95" s="53" t="n"/>
      <c r="L95" s="53" t="n"/>
      <c r="M95" s="53" t="n"/>
      <c r="N95" s="50">
        <f>IF($A95="","",IF($F95="是",0,SUMPRODUCT($G95:$M95,$G$3:$M$3)))</f>
        <v/>
      </c>
      <c r="O95" s="51">
        <f>IF(OR($A95="",$N95=""),"",RANK($N95,$N$5:$N$204,0))</f>
        <v/>
      </c>
      <c r="P95" s="37">
        <f>IF($A95="","",IF($F95="是","⛔淘汰(一票否决)",IF($O95&lt;='参数配置'!$B$12,"⭐优先上架Top N",IF($N95&gt;='参数配置'!$B$13,"观察跟进","暂缓/优化后再评"))))</f>
        <v/>
      </c>
    </row>
    <row r="96">
      <c r="A96" s="52" t="n"/>
      <c r="B96" s="46">
        <f>IFERROR(VLOOKUP($A96,'SKU主表'!$A:$M,2,0),"")</f>
        <v/>
      </c>
      <c r="C96" s="47">
        <f>IFERROR(VLOOKUP($A96,'SKU主表'!$A:$M,9,0),"")</f>
        <v/>
      </c>
      <c r="D96" s="52" t="n"/>
      <c r="E96" s="52" t="n"/>
      <c r="F96" s="48">
        <f>IF($A96="","",IF(OR($C96="禁售",$C96="需资质",$D96="是",$E96="是"),"是","否"))</f>
        <v/>
      </c>
      <c r="G96" s="53" t="n"/>
      <c r="H96" s="53" t="n"/>
      <c r="I96" s="53" t="n"/>
      <c r="J96" s="53" t="n"/>
      <c r="K96" s="53" t="n"/>
      <c r="L96" s="53" t="n"/>
      <c r="M96" s="53" t="n"/>
      <c r="N96" s="50">
        <f>IF($A96="","",IF($F96="是",0,SUMPRODUCT($G96:$M96,$G$3:$M$3)))</f>
        <v/>
      </c>
      <c r="O96" s="51">
        <f>IF(OR($A96="",$N96=""),"",RANK($N96,$N$5:$N$204,0))</f>
        <v/>
      </c>
      <c r="P96" s="37">
        <f>IF($A96="","",IF($F96="是","⛔淘汰(一票否决)",IF($O96&lt;='参数配置'!$B$12,"⭐优先上架Top N",IF($N96&gt;='参数配置'!$B$13,"观察跟进","暂缓/优化后再评"))))</f>
        <v/>
      </c>
    </row>
    <row r="97">
      <c r="A97" s="52" t="n"/>
      <c r="B97" s="46">
        <f>IFERROR(VLOOKUP($A97,'SKU主表'!$A:$M,2,0),"")</f>
        <v/>
      </c>
      <c r="C97" s="47">
        <f>IFERROR(VLOOKUP($A97,'SKU主表'!$A:$M,9,0),"")</f>
        <v/>
      </c>
      <c r="D97" s="52" t="n"/>
      <c r="E97" s="52" t="n"/>
      <c r="F97" s="48">
        <f>IF($A97="","",IF(OR($C97="禁售",$C97="需资质",$D97="是",$E97="是"),"是","否"))</f>
        <v/>
      </c>
      <c r="G97" s="53" t="n"/>
      <c r="H97" s="53" t="n"/>
      <c r="I97" s="53" t="n"/>
      <c r="J97" s="53" t="n"/>
      <c r="K97" s="53" t="n"/>
      <c r="L97" s="53" t="n"/>
      <c r="M97" s="53" t="n"/>
      <c r="N97" s="50">
        <f>IF($A97="","",IF($F97="是",0,SUMPRODUCT($G97:$M97,$G$3:$M$3)))</f>
        <v/>
      </c>
      <c r="O97" s="51">
        <f>IF(OR($A97="",$N97=""),"",RANK($N97,$N$5:$N$204,0))</f>
        <v/>
      </c>
      <c r="P97" s="37">
        <f>IF($A97="","",IF($F97="是","⛔淘汰(一票否决)",IF($O97&lt;='参数配置'!$B$12,"⭐优先上架Top N",IF($N97&gt;='参数配置'!$B$13,"观察跟进","暂缓/优化后再评"))))</f>
        <v/>
      </c>
    </row>
    <row r="98">
      <c r="A98" s="52" t="n"/>
      <c r="B98" s="46">
        <f>IFERROR(VLOOKUP($A98,'SKU主表'!$A:$M,2,0),"")</f>
        <v/>
      </c>
      <c r="C98" s="47">
        <f>IFERROR(VLOOKUP($A98,'SKU主表'!$A:$M,9,0),"")</f>
        <v/>
      </c>
      <c r="D98" s="52" t="n"/>
      <c r="E98" s="52" t="n"/>
      <c r="F98" s="48">
        <f>IF($A98="","",IF(OR($C98="禁售",$C98="需资质",$D98="是",$E98="是"),"是","否"))</f>
        <v/>
      </c>
      <c r="G98" s="53" t="n"/>
      <c r="H98" s="53" t="n"/>
      <c r="I98" s="53" t="n"/>
      <c r="J98" s="53" t="n"/>
      <c r="K98" s="53" t="n"/>
      <c r="L98" s="53" t="n"/>
      <c r="M98" s="53" t="n"/>
      <c r="N98" s="50">
        <f>IF($A98="","",IF($F98="是",0,SUMPRODUCT($G98:$M98,$G$3:$M$3)))</f>
        <v/>
      </c>
      <c r="O98" s="51">
        <f>IF(OR($A98="",$N98=""),"",RANK($N98,$N$5:$N$204,0))</f>
        <v/>
      </c>
      <c r="P98" s="37">
        <f>IF($A98="","",IF($F98="是","⛔淘汰(一票否决)",IF($O98&lt;='参数配置'!$B$12,"⭐优先上架Top N",IF($N98&gt;='参数配置'!$B$13,"观察跟进","暂缓/优化后再评"))))</f>
        <v/>
      </c>
    </row>
    <row r="99">
      <c r="A99" s="52" t="n"/>
      <c r="B99" s="46">
        <f>IFERROR(VLOOKUP($A99,'SKU主表'!$A:$M,2,0),"")</f>
        <v/>
      </c>
      <c r="C99" s="47">
        <f>IFERROR(VLOOKUP($A99,'SKU主表'!$A:$M,9,0),"")</f>
        <v/>
      </c>
      <c r="D99" s="52" t="n"/>
      <c r="E99" s="52" t="n"/>
      <c r="F99" s="48">
        <f>IF($A99="","",IF(OR($C99="禁售",$C99="需资质",$D99="是",$E99="是"),"是","否"))</f>
        <v/>
      </c>
      <c r="G99" s="53" t="n"/>
      <c r="H99" s="53" t="n"/>
      <c r="I99" s="53" t="n"/>
      <c r="J99" s="53" t="n"/>
      <c r="K99" s="53" t="n"/>
      <c r="L99" s="53" t="n"/>
      <c r="M99" s="53" t="n"/>
      <c r="N99" s="50">
        <f>IF($A99="","",IF($F99="是",0,SUMPRODUCT($G99:$M99,$G$3:$M$3)))</f>
        <v/>
      </c>
      <c r="O99" s="51">
        <f>IF(OR($A99="",$N99=""),"",RANK($N99,$N$5:$N$204,0))</f>
        <v/>
      </c>
      <c r="P99" s="37">
        <f>IF($A99="","",IF($F99="是","⛔淘汰(一票否决)",IF($O99&lt;='参数配置'!$B$12,"⭐优先上架Top N",IF($N99&gt;='参数配置'!$B$13,"观察跟进","暂缓/优化后再评"))))</f>
        <v/>
      </c>
    </row>
    <row r="100">
      <c r="A100" s="52" t="n"/>
      <c r="B100" s="46">
        <f>IFERROR(VLOOKUP($A100,'SKU主表'!$A:$M,2,0),"")</f>
        <v/>
      </c>
      <c r="C100" s="47">
        <f>IFERROR(VLOOKUP($A100,'SKU主表'!$A:$M,9,0),"")</f>
        <v/>
      </c>
      <c r="D100" s="52" t="n"/>
      <c r="E100" s="52" t="n"/>
      <c r="F100" s="48">
        <f>IF($A100="","",IF(OR($C100="禁售",$C100="需资质",$D100="是",$E100="是"),"是","否"))</f>
        <v/>
      </c>
      <c r="G100" s="53" t="n"/>
      <c r="H100" s="53" t="n"/>
      <c r="I100" s="53" t="n"/>
      <c r="J100" s="53" t="n"/>
      <c r="K100" s="53" t="n"/>
      <c r="L100" s="53" t="n"/>
      <c r="M100" s="53" t="n"/>
      <c r="N100" s="50">
        <f>IF($A100="","",IF($F100="是",0,SUMPRODUCT($G100:$M100,$G$3:$M$3)))</f>
        <v/>
      </c>
      <c r="O100" s="51">
        <f>IF(OR($A100="",$N100=""),"",RANK($N100,$N$5:$N$204,0))</f>
        <v/>
      </c>
      <c r="P100" s="37">
        <f>IF($A100="","",IF($F100="是","⛔淘汰(一票否决)",IF($O100&lt;='参数配置'!$B$12,"⭐优先上架Top N",IF($N100&gt;='参数配置'!$B$13,"观察跟进","暂缓/优化后再评"))))</f>
        <v/>
      </c>
    </row>
    <row r="101">
      <c r="A101" s="52" t="n"/>
      <c r="B101" s="46">
        <f>IFERROR(VLOOKUP($A101,'SKU主表'!$A:$M,2,0),"")</f>
        <v/>
      </c>
      <c r="C101" s="47">
        <f>IFERROR(VLOOKUP($A101,'SKU主表'!$A:$M,9,0),"")</f>
        <v/>
      </c>
      <c r="D101" s="52" t="n"/>
      <c r="E101" s="52" t="n"/>
      <c r="F101" s="48">
        <f>IF($A101="","",IF(OR($C101="禁售",$C101="需资质",$D101="是",$E101="是"),"是","否"))</f>
        <v/>
      </c>
      <c r="G101" s="53" t="n"/>
      <c r="H101" s="53" t="n"/>
      <c r="I101" s="53" t="n"/>
      <c r="J101" s="53" t="n"/>
      <c r="K101" s="53" t="n"/>
      <c r="L101" s="53" t="n"/>
      <c r="M101" s="53" t="n"/>
      <c r="N101" s="50">
        <f>IF($A101="","",IF($F101="是",0,SUMPRODUCT($G101:$M101,$G$3:$M$3)))</f>
        <v/>
      </c>
      <c r="O101" s="51">
        <f>IF(OR($A101="",$N101=""),"",RANK($N101,$N$5:$N$204,0))</f>
        <v/>
      </c>
      <c r="P101" s="37">
        <f>IF($A101="","",IF($F101="是","⛔淘汰(一票否决)",IF($O101&lt;='参数配置'!$B$12,"⭐优先上架Top N",IF($N101&gt;='参数配置'!$B$13,"观察跟进","暂缓/优化后再评"))))</f>
        <v/>
      </c>
    </row>
    <row r="102">
      <c r="A102" s="52" t="n"/>
      <c r="B102" s="46">
        <f>IFERROR(VLOOKUP($A102,'SKU主表'!$A:$M,2,0),"")</f>
        <v/>
      </c>
      <c r="C102" s="47">
        <f>IFERROR(VLOOKUP($A102,'SKU主表'!$A:$M,9,0),"")</f>
        <v/>
      </c>
      <c r="D102" s="52" t="n"/>
      <c r="E102" s="52" t="n"/>
      <c r="F102" s="48">
        <f>IF($A102="","",IF(OR($C102="禁售",$C102="需资质",$D102="是",$E102="是"),"是","否"))</f>
        <v/>
      </c>
      <c r="G102" s="53" t="n"/>
      <c r="H102" s="53" t="n"/>
      <c r="I102" s="53" t="n"/>
      <c r="J102" s="53" t="n"/>
      <c r="K102" s="53" t="n"/>
      <c r="L102" s="53" t="n"/>
      <c r="M102" s="53" t="n"/>
      <c r="N102" s="50">
        <f>IF($A102="","",IF($F102="是",0,SUMPRODUCT($G102:$M102,$G$3:$M$3)))</f>
        <v/>
      </c>
      <c r="O102" s="51">
        <f>IF(OR($A102="",$N102=""),"",RANK($N102,$N$5:$N$204,0))</f>
        <v/>
      </c>
      <c r="P102" s="37">
        <f>IF($A102="","",IF($F102="是","⛔淘汰(一票否决)",IF($O102&lt;='参数配置'!$B$12,"⭐优先上架Top N",IF($N102&gt;='参数配置'!$B$13,"观察跟进","暂缓/优化后再评"))))</f>
        <v/>
      </c>
    </row>
    <row r="103">
      <c r="A103" s="52" t="n"/>
      <c r="B103" s="46">
        <f>IFERROR(VLOOKUP($A103,'SKU主表'!$A:$M,2,0),"")</f>
        <v/>
      </c>
      <c r="C103" s="47">
        <f>IFERROR(VLOOKUP($A103,'SKU主表'!$A:$M,9,0),"")</f>
        <v/>
      </c>
      <c r="D103" s="52" t="n"/>
      <c r="E103" s="52" t="n"/>
      <c r="F103" s="48">
        <f>IF($A103="","",IF(OR($C103="禁售",$C103="需资质",$D103="是",$E103="是"),"是","否"))</f>
        <v/>
      </c>
      <c r="G103" s="53" t="n"/>
      <c r="H103" s="53" t="n"/>
      <c r="I103" s="53" t="n"/>
      <c r="J103" s="53" t="n"/>
      <c r="K103" s="53" t="n"/>
      <c r="L103" s="53" t="n"/>
      <c r="M103" s="53" t="n"/>
      <c r="N103" s="50">
        <f>IF($A103="","",IF($F103="是",0,SUMPRODUCT($G103:$M103,$G$3:$M$3)))</f>
        <v/>
      </c>
      <c r="O103" s="51">
        <f>IF(OR($A103="",$N103=""),"",RANK($N103,$N$5:$N$204,0))</f>
        <v/>
      </c>
      <c r="P103" s="37">
        <f>IF($A103="","",IF($F103="是","⛔淘汰(一票否决)",IF($O103&lt;='参数配置'!$B$12,"⭐优先上架Top N",IF($N103&gt;='参数配置'!$B$13,"观察跟进","暂缓/优化后再评"))))</f>
        <v/>
      </c>
    </row>
    <row r="104">
      <c r="A104" s="52" t="n"/>
      <c r="B104" s="46">
        <f>IFERROR(VLOOKUP($A104,'SKU主表'!$A:$M,2,0),"")</f>
        <v/>
      </c>
      <c r="C104" s="47">
        <f>IFERROR(VLOOKUP($A104,'SKU主表'!$A:$M,9,0),"")</f>
        <v/>
      </c>
      <c r="D104" s="52" t="n"/>
      <c r="E104" s="52" t="n"/>
      <c r="F104" s="48">
        <f>IF($A104="","",IF(OR($C104="禁售",$C104="需资质",$D104="是",$E104="是"),"是","否"))</f>
        <v/>
      </c>
      <c r="G104" s="53" t="n"/>
      <c r="H104" s="53" t="n"/>
      <c r="I104" s="53" t="n"/>
      <c r="J104" s="53" t="n"/>
      <c r="K104" s="53" t="n"/>
      <c r="L104" s="53" t="n"/>
      <c r="M104" s="53" t="n"/>
      <c r="N104" s="50">
        <f>IF($A104="","",IF($F104="是",0,SUMPRODUCT($G104:$M104,$G$3:$M$3)))</f>
        <v/>
      </c>
      <c r="O104" s="51">
        <f>IF(OR($A104="",$N104=""),"",RANK($N104,$N$5:$N$204,0))</f>
        <v/>
      </c>
      <c r="P104" s="37">
        <f>IF($A104="","",IF($F104="是","⛔淘汰(一票否决)",IF($O104&lt;='参数配置'!$B$12,"⭐优先上架Top N",IF($N104&gt;='参数配置'!$B$13,"观察跟进","暂缓/优化后再评"))))</f>
        <v/>
      </c>
    </row>
    <row r="105">
      <c r="A105" s="52" t="n"/>
      <c r="B105" s="46">
        <f>IFERROR(VLOOKUP($A105,'SKU主表'!$A:$M,2,0),"")</f>
        <v/>
      </c>
      <c r="C105" s="47">
        <f>IFERROR(VLOOKUP($A105,'SKU主表'!$A:$M,9,0),"")</f>
        <v/>
      </c>
      <c r="D105" s="52" t="n"/>
      <c r="E105" s="52" t="n"/>
      <c r="F105" s="48">
        <f>IF($A105="","",IF(OR($C105="禁售",$C105="需资质",$D105="是",$E105="是"),"是","否"))</f>
        <v/>
      </c>
      <c r="G105" s="53" t="n"/>
      <c r="H105" s="53" t="n"/>
      <c r="I105" s="53" t="n"/>
      <c r="J105" s="53" t="n"/>
      <c r="K105" s="53" t="n"/>
      <c r="L105" s="53" t="n"/>
      <c r="M105" s="53" t="n"/>
      <c r="N105" s="50">
        <f>IF($A105="","",IF($F105="是",0,SUMPRODUCT($G105:$M105,$G$3:$M$3)))</f>
        <v/>
      </c>
      <c r="O105" s="51">
        <f>IF(OR($A105="",$N105=""),"",RANK($N105,$N$5:$N$204,0))</f>
        <v/>
      </c>
      <c r="P105" s="37">
        <f>IF($A105="","",IF($F105="是","⛔淘汰(一票否决)",IF($O105&lt;='参数配置'!$B$12,"⭐优先上架Top N",IF($N105&gt;='参数配置'!$B$13,"观察跟进","暂缓/优化后再评"))))</f>
        <v/>
      </c>
    </row>
    <row r="106">
      <c r="A106" s="52" t="n"/>
      <c r="B106" s="46">
        <f>IFERROR(VLOOKUP($A106,'SKU主表'!$A:$M,2,0),"")</f>
        <v/>
      </c>
      <c r="C106" s="47">
        <f>IFERROR(VLOOKUP($A106,'SKU主表'!$A:$M,9,0),"")</f>
        <v/>
      </c>
      <c r="D106" s="52" t="n"/>
      <c r="E106" s="52" t="n"/>
      <c r="F106" s="48">
        <f>IF($A106="","",IF(OR($C106="禁售",$C106="需资质",$D106="是",$E106="是"),"是","否"))</f>
        <v/>
      </c>
      <c r="G106" s="53" t="n"/>
      <c r="H106" s="53" t="n"/>
      <c r="I106" s="53" t="n"/>
      <c r="J106" s="53" t="n"/>
      <c r="K106" s="53" t="n"/>
      <c r="L106" s="53" t="n"/>
      <c r="M106" s="53" t="n"/>
      <c r="N106" s="50">
        <f>IF($A106="","",IF($F106="是",0,SUMPRODUCT($G106:$M106,$G$3:$M$3)))</f>
        <v/>
      </c>
      <c r="O106" s="51">
        <f>IF(OR($A106="",$N106=""),"",RANK($N106,$N$5:$N$204,0))</f>
        <v/>
      </c>
      <c r="P106" s="37">
        <f>IF($A106="","",IF($F106="是","⛔淘汰(一票否决)",IF($O106&lt;='参数配置'!$B$12,"⭐优先上架Top N",IF($N106&gt;='参数配置'!$B$13,"观察跟进","暂缓/优化后再评"))))</f>
        <v/>
      </c>
    </row>
    <row r="107">
      <c r="A107" s="52" t="n"/>
      <c r="B107" s="46">
        <f>IFERROR(VLOOKUP($A107,'SKU主表'!$A:$M,2,0),"")</f>
        <v/>
      </c>
      <c r="C107" s="47">
        <f>IFERROR(VLOOKUP($A107,'SKU主表'!$A:$M,9,0),"")</f>
        <v/>
      </c>
      <c r="D107" s="52" t="n"/>
      <c r="E107" s="52" t="n"/>
      <c r="F107" s="48">
        <f>IF($A107="","",IF(OR($C107="禁售",$C107="需资质",$D107="是",$E107="是"),"是","否"))</f>
        <v/>
      </c>
      <c r="G107" s="53" t="n"/>
      <c r="H107" s="53" t="n"/>
      <c r="I107" s="53" t="n"/>
      <c r="J107" s="53" t="n"/>
      <c r="K107" s="53" t="n"/>
      <c r="L107" s="53" t="n"/>
      <c r="M107" s="53" t="n"/>
      <c r="N107" s="50">
        <f>IF($A107="","",IF($F107="是",0,SUMPRODUCT($G107:$M107,$G$3:$M$3)))</f>
        <v/>
      </c>
      <c r="O107" s="51">
        <f>IF(OR($A107="",$N107=""),"",RANK($N107,$N$5:$N$204,0))</f>
        <v/>
      </c>
      <c r="P107" s="37">
        <f>IF($A107="","",IF($F107="是","⛔淘汰(一票否决)",IF($O107&lt;='参数配置'!$B$12,"⭐优先上架Top N",IF($N107&gt;='参数配置'!$B$13,"观察跟进","暂缓/优化后再评"))))</f>
        <v/>
      </c>
    </row>
    <row r="108">
      <c r="A108" s="52" t="n"/>
      <c r="B108" s="46">
        <f>IFERROR(VLOOKUP($A108,'SKU主表'!$A:$M,2,0),"")</f>
        <v/>
      </c>
      <c r="C108" s="47">
        <f>IFERROR(VLOOKUP($A108,'SKU主表'!$A:$M,9,0),"")</f>
        <v/>
      </c>
      <c r="D108" s="52" t="n"/>
      <c r="E108" s="52" t="n"/>
      <c r="F108" s="48">
        <f>IF($A108="","",IF(OR($C108="禁售",$C108="需资质",$D108="是",$E108="是"),"是","否"))</f>
        <v/>
      </c>
      <c r="G108" s="53" t="n"/>
      <c r="H108" s="53" t="n"/>
      <c r="I108" s="53" t="n"/>
      <c r="J108" s="53" t="n"/>
      <c r="K108" s="53" t="n"/>
      <c r="L108" s="53" t="n"/>
      <c r="M108" s="53" t="n"/>
      <c r="N108" s="50">
        <f>IF($A108="","",IF($F108="是",0,SUMPRODUCT($G108:$M108,$G$3:$M$3)))</f>
        <v/>
      </c>
      <c r="O108" s="51">
        <f>IF(OR($A108="",$N108=""),"",RANK($N108,$N$5:$N$204,0))</f>
        <v/>
      </c>
      <c r="P108" s="37">
        <f>IF($A108="","",IF($F108="是","⛔淘汰(一票否决)",IF($O108&lt;='参数配置'!$B$12,"⭐优先上架Top N",IF($N108&gt;='参数配置'!$B$13,"观察跟进","暂缓/优化后再评"))))</f>
        <v/>
      </c>
    </row>
    <row r="109">
      <c r="A109" s="52" t="n"/>
      <c r="B109" s="46">
        <f>IFERROR(VLOOKUP($A109,'SKU主表'!$A:$M,2,0),"")</f>
        <v/>
      </c>
      <c r="C109" s="47">
        <f>IFERROR(VLOOKUP($A109,'SKU主表'!$A:$M,9,0),"")</f>
        <v/>
      </c>
      <c r="D109" s="52" t="n"/>
      <c r="E109" s="52" t="n"/>
      <c r="F109" s="48">
        <f>IF($A109="","",IF(OR($C109="禁售",$C109="需资质",$D109="是",$E109="是"),"是","否"))</f>
        <v/>
      </c>
      <c r="G109" s="53" t="n"/>
      <c r="H109" s="53" t="n"/>
      <c r="I109" s="53" t="n"/>
      <c r="J109" s="53" t="n"/>
      <c r="K109" s="53" t="n"/>
      <c r="L109" s="53" t="n"/>
      <c r="M109" s="53" t="n"/>
      <c r="N109" s="50">
        <f>IF($A109="","",IF($F109="是",0,SUMPRODUCT($G109:$M109,$G$3:$M$3)))</f>
        <v/>
      </c>
      <c r="O109" s="51">
        <f>IF(OR($A109="",$N109=""),"",RANK($N109,$N$5:$N$204,0))</f>
        <v/>
      </c>
      <c r="P109" s="37">
        <f>IF($A109="","",IF($F109="是","⛔淘汰(一票否决)",IF($O109&lt;='参数配置'!$B$12,"⭐优先上架Top N",IF($N109&gt;='参数配置'!$B$13,"观察跟进","暂缓/优化后再评"))))</f>
        <v/>
      </c>
    </row>
    <row r="110">
      <c r="A110" s="52" t="n"/>
      <c r="B110" s="46">
        <f>IFERROR(VLOOKUP($A110,'SKU主表'!$A:$M,2,0),"")</f>
        <v/>
      </c>
      <c r="C110" s="47">
        <f>IFERROR(VLOOKUP($A110,'SKU主表'!$A:$M,9,0),"")</f>
        <v/>
      </c>
      <c r="D110" s="52" t="n"/>
      <c r="E110" s="52" t="n"/>
      <c r="F110" s="48">
        <f>IF($A110="","",IF(OR($C110="禁售",$C110="需资质",$D110="是",$E110="是"),"是","否"))</f>
        <v/>
      </c>
      <c r="G110" s="53" t="n"/>
      <c r="H110" s="53" t="n"/>
      <c r="I110" s="53" t="n"/>
      <c r="J110" s="53" t="n"/>
      <c r="K110" s="53" t="n"/>
      <c r="L110" s="53" t="n"/>
      <c r="M110" s="53" t="n"/>
      <c r="N110" s="50">
        <f>IF($A110="","",IF($F110="是",0,SUMPRODUCT($G110:$M110,$G$3:$M$3)))</f>
        <v/>
      </c>
      <c r="O110" s="51">
        <f>IF(OR($A110="",$N110=""),"",RANK($N110,$N$5:$N$204,0))</f>
        <v/>
      </c>
      <c r="P110" s="37">
        <f>IF($A110="","",IF($F110="是","⛔淘汰(一票否决)",IF($O110&lt;='参数配置'!$B$12,"⭐优先上架Top N",IF($N110&gt;='参数配置'!$B$13,"观察跟进","暂缓/优化后再评"))))</f>
        <v/>
      </c>
    </row>
    <row r="111">
      <c r="A111" s="52" t="n"/>
      <c r="B111" s="46">
        <f>IFERROR(VLOOKUP($A111,'SKU主表'!$A:$M,2,0),"")</f>
        <v/>
      </c>
      <c r="C111" s="47">
        <f>IFERROR(VLOOKUP($A111,'SKU主表'!$A:$M,9,0),"")</f>
        <v/>
      </c>
      <c r="D111" s="52" t="n"/>
      <c r="E111" s="52" t="n"/>
      <c r="F111" s="48">
        <f>IF($A111="","",IF(OR($C111="禁售",$C111="需资质",$D111="是",$E111="是"),"是","否"))</f>
        <v/>
      </c>
      <c r="G111" s="53" t="n"/>
      <c r="H111" s="53" t="n"/>
      <c r="I111" s="53" t="n"/>
      <c r="J111" s="53" t="n"/>
      <c r="K111" s="53" t="n"/>
      <c r="L111" s="53" t="n"/>
      <c r="M111" s="53" t="n"/>
      <c r="N111" s="50">
        <f>IF($A111="","",IF($F111="是",0,SUMPRODUCT($G111:$M111,$G$3:$M$3)))</f>
        <v/>
      </c>
      <c r="O111" s="51">
        <f>IF(OR($A111="",$N111=""),"",RANK($N111,$N$5:$N$204,0))</f>
        <v/>
      </c>
      <c r="P111" s="37">
        <f>IF($A111="","",IF($F111="是","⛔淘汰(一票否决)",IF($O111&lt;='参数配置'!$B$12,"⭐优先上架Top N",IF($N111&gt;='参数配置'!$B$13,"观察跟进","暂缓/优化后再评"))))</f>
        <v/>
      </c>
    </row>
    <row r="112">
      <c r="A112" s="52" t="n"/>
      <c r="B112" s="46">
        <f>IFERROR(VLOOKUP($A112,'SKU主表'!$A:$M,2,0),"")</f>
        <v/>
      </c>
      <c r="C112" s="47">
        <f>IFERROR(VLOOKUP($A112,'SKU主表'!$A:$M,9,0),"")</f>
        <v/>
      </c>
      <c r="D112" s="52" t="n"/>
      <c r="E112" s="52" t="n"/>
      <c r="F112" s="48">
        <f>IF($A112="","",IF(OR($C112="禁售",$C112="需资质",$D112="是",$E112="是"),"是","否"))</f>
        <v/>
      </c>
      <c r="G112" s="53" t="n"/>
      <c r="H112" s="53" t="n"/>
      <c r="I112" s="53" t="n"/>
      <c r="J112" s="53" t="n"/>
      <c r="K112" s="53" t="n"/>
      <c r="L112" s="53" t="n"/>
      <c r="M112" s="53" t="n"/>
      <c r="N112" s="50">
        <f>IF($A112="","",IF($F112="是",0,SUMPRODUCT($G112:$M112,$G$3:$M$3)))</f>
        <v/>
      </c>
      <c r="O112" s="51">
        <f>IF(OR($A112="",$N112=""),"",RANK($N112,$N$5:$N$204,0))</f>
        <v/>
      </c>
      <c r="P112" s="37">
        <f>IF($A112="","",IF($F112="是","⛔淘汰(一票否决)",IF($O112&lt;='参数配置'!$B$12,"⭐优先上架Top N",IF($N112&gt;='参数配置'!$B$13,"观察跟进","暂缓/优化后再评"))))</f>
        <v/>
      </c>
    </row>
    <row r="113">
      <c r="A113" s="52" t="n"/>
      <c r="B113" s="46">
        <f>IFERROR(VLOOKUP($A113,'SKU主表'!$A:$M,2,0),"")</f>
        <v/>
      </c>
      <c r="C113" s="47">
        <f>IFERROR(VLOOKUP($A113,'SKU主表'!$A:$M,9,0),"")</f>
        <v/>
      </c>
      <c r="D113" s="52" t="n"/>
      <c r="E113" s="52" t="n"/>
      <c r="F113" s="48">
        <f>IF($A113="","",IF(OR($C113="禁售",$C113="需资质",$D113="是",$E113="是"),"是","否"))</f>
        <v/>
      </c>
      <c r="G113" s="53" t="n"/>
      <c r="H113" s="53" t="n"/>
      <c r="I113" s="53" t="n"/>
      <c r="J113" s="53" t="n"/>
      <c r="K113" s="53" t="n"/>
      <c r="L113" s="53" t="n"/>
      <c r="M113" s="53" t="n"/>
      <c r="N113" s="50">
        <f>IF($A113="","",IF($F113="是",0,SUMPRODUCT($G113:$M113,$G$3:$M$3)))</f>
        <v/>
      </c>
      <c r="O113" s="51">
        <f>IF(OR($A113="",$N113=""),"",RANK($N113,$N$5:$N$204,0))</f>
        <v/>
      </c>
      <c r="P113" s="37">
        <f>IF($A113="","",IF($F113="是","⛔淘汰(一票否决)",IF($O113&lt;='参数配置'!$B$12,"⭐优先上架Top N",IF($N113&gt;='参数配置'!$B$13,"观察跟进","暂缓/优化后再评"))))</f>
        <v/>
      </c>
    </row>
    <row r="114">
      <c r="A114" s="52" t="n"/>
      <c r="B114" s="46">
        <f>IFERROR(VLOOKUP($A114,'SKU主表'!$A:$M,2,0),"")</f>
        <v/>
      </c>
      <c r="C114" s="47">
        <f>IFERROR(VLOOKUP($A114,'SKU主表'!$A:$M,9,0),"")</f>
        <v/>
      </c>
      <c r="D114" s="52" t="n"/>
      <c r="E114" s="52" t="n"/>
      <c r="F114" s="48">
        <f>IF($A114="","",IF(OR($C114="禁售",$C114="需资质",$D114="是",$E114="是"),"是","否"))</f>
        <v/>
      </c>
      <c r="G114" s="53" t="n"/>
      <c r="H114" s="53" t="n"/>
      <c r="I114" s="53" t="n"/>
      <c r="J114" s="53" t="n"/>
      <c r="K114" s="53" t="n"/>
      <c r="L114" s="53" t="n"/>
      <c r="M114" s="53" t="n"/>
      <c r="N114" s="50">
        <f>IF($A114="","",IF($F114="是",0,SUMPRODUCT($G114:$M114,$G$3:$M$3)))</f>
        <v/>
      </c>
      <c r="O114" s="51">
        <f>IF(OR($A114="",$N114=""),"",RANK($N114,$N$5:$N$204,0))</f>
        <v/>
      </c>
      <c r="P114" s="37">
        <f>IF($A114="","",IF($F114="是","⛔淘汰(一票否决)",IF($O114&lt;='参数配置'!$B$12,"⭐优先上架Top N",IF($N114&gt;='参数配置'!$B$13,"观察跟进","暂缓/优化后再评"))))</f>
        <v/>
      </c>
    </row>
    <row r="115">
      <c r="A115" s="52" t="n"/>
      <c r="B115" s="46">
        <f>IFERROR(VLOOKUP($A115,'SKU主表'!$A:$M,2,0),"")</f>
        <v/>
      </c>
      <c r="C115" s="47">
        <f>IFERROR(VLOOKUP($A115,'SKU主表'!$A:$M,9,0),"")</f>
        <v/>
      </c>
      <c r="D115" s="52" t="n"/>
      <c r="E115" s="52" t="n"/>
      <c r="F115" s="48">
        <f>IF($A115="","",IF(OR($C115="禁售",$C115="需资质",$D115="是",$E115="是"),"是","否"))</f>
        <v/>
      </c>
      <c r="G115" s="53" t="n"/>
      <c r="H115" s="53" t="n"/>
      <c r="I115" s="53" t="n"/>
      <c r="J115" s="53" t="n"/>
      <c r="K115" s="53" t="n"/>
      <c r="L115" s="53" t="n"/>
      <c r="M115" s="53" t="n"/>
      <c r="N115" s="50">
        <f>IF($A115="","",IF($F115="是",0,SUMPRODUCT($G115:$M115,$G$3:$M$3)))</f>
        <v/>
      </c>
      <c r="O115" s="51">
        <f>IF(OR($A115="",$N115=""),"",RANK($N115,$N$5:$N$204,0))</f>
        <v/>
      </c>
      <c r="P115" s="37">
        <f>IF($A115="","",IF($F115="是","⛔淘汰(一票否决)",IF($O115&lt;='参数配置'!$B$12,"⭐优先上架Top N",IF($N115&gt;='参数配置'!$B$13,"观察跟进","暂缓/优化后再评"))))</f>
        <v/>
      </c>
    </row>
    <row r="116">
      <c r="A116" s="52" t="n"/>
      <c r="B116" s="46">
        <f>IFERROR(VLOOKUP($A116,'SKU主表'!$A:$M,2,0),"")</f>
        <v/>
      </c>
      <c r="C116" s="47">
        <f>IFERROR(VLOOKUP($A116,'SKU主表'!$A:$M,9,0),"")</f>
        <v/>
      </c>
      <c r="D116" s="52" t="n"/>
      <c r="E116" s="52" t="n"/>
      <c r="F116" s="48">
        <f>IF($A116="","",IF(OR($C116="禁售",$C116="需资质",$D116="是",$E116="是"),"是","否"))</f>
        <v/>
      </c>
      <c r="G116" s="53" t="n"/>
      <c r="H116" s="53" t="n"/>
      <c r="I116" s="53" t="n"/>
      <c r="J116" s="53" t="n"/>
      <c r="K116" s="53" t="n"/>
      <c r="L116" s="53" t="n"/>
      <c r="M116" s="53" t="n"/>
      <c r="N116" s="50">
        <f>IF($A116="","",IF($F116="是",0,SUMPRODUCT($G116:$M116,$G$3:$M$3)))</f>
        <v/>
      </c>
      <c r="O116" s="51">
        <f>IF(OR($A116="",$N116=""),"",RANK($N116,$N$5:$N$204,0))</f>
        <v/>
      </c>
      <c r="P116" s="37">
        <f>IF($A116="","",IF($F116="是","⛔淘汰(一票否决)",IF($O116&lt;='参数配置'!$B$12,"⭐优先上架Top N",IF($N116&gt;='参数配置'!$B$13,"观察跟进","暂缓/优化后再评"))))</f>
        <v/>
      </c>
    </row>
    <row r="117">
      <c r="A117" s="52" t="n"/>
      <c r="B117" s="46">
        <f>IFERROR(VLOOKUP($A117,'SKU主表'!$A:$M,2,0),"")</f>
        <v/>
      </c>
      <c r="C117" s="47">
        <f>IFERROR(VLOOKUP($A117,'SKU主表'!$A:$M,9,0),"")</f>
        <v/>
      </c>
      <c r="D117" s="52" t="n"/>
      <c r="E117" s="52" t="n"/>
      <c r="F117" s="48">
        <f>IF($A117="","",IF(OR($C117="禁售",$C117="需资质",$D117="是",$E117="是"),"是","否"))</f>
        <v/>
      </c>
      <c r="G117" s="53" t="n"/>
      <c r="H117" s="53" t="n"/>
      <c r="I117" s="53" t="n"/>
      <c r="J117" s="53" t="n"/>
      <c r="K117" s="53" t="n"/>
      <c r="L117" s="53" t="n"/>
      <c r="M117" s="53" t="n"/>
      <c r="N117" s="50">
        <f>IF($A117="","",IF($F117="是",0,SUMPRODUCT($G117:$M117,$G$3:$M$3)))</f>
        <v/>
      </c>
      <c r="O117" s="51">
        <f>IF(OR($A117="",$N117=""),"",RANK($N117,$N$5:$N$204,0))</f>
        <v/>
      </c>
      <c r="P117" s="37">
        <f>IF($A117="","",IF($F117="是","⛔淘汰(一票否决)",IF($O117&lt;='参数配置'!$B$12,"⭐优先上架Top N",IF($N117&gt;='参数配置'!$B$13,"观察跟进","暂缓/优化后再评"))))</f>
        <v/>
      </c>
    </row>
    <row r="118">
      <c r="A118" s="52" t="n"/>
      <c r="B118" s="46">
        <f>IFERROR(VLOOKUP($A118,'SKU主表'!$A:$M,2,0),"")</f>
        <v/>
      </c>
      <c r="C118" s="47">
        <f>IFERROR(VLOOKUP($A118,'SKU主表'!$A:$M,9,0),"")</f>
        <v/>
      </c>
      <c r="D118" s="52" t="n"/>
      <c r="E118" s="52" t="n"/>
      <c r="F118" s="48">
        <f>IF($A118="","",IF(OR($C118="禁售",$C118="需资质",$D118="是",$E118="是"),"是","否"))</f>
        <v/>
      </c>
      <c r="G118" s="53" t="n"/>
      <c r="H118" s="53" t="n"/>
      <c r="I118" s="53" t="n"/>
      <c r="J118" s="53" t="n"/>
      <c r="K118" s="53" t="n"/>
      <c r="L118" s="53" t="n"/>
      <c r="M118" s="53" t="n"/>
      <c r="N118" s="50">
        <f>IF($A118="","",IF($F118="是",0,SUMPRODUCT($G118:$M118,$G$3:$M$3)))</f>
        <v/>
      </c>
      <c r="O118" s="51">
        <f>IF(OR($A118="",$N118=""),"",RANK($N118,$N$5:$N$204,0))</f>
        <v/>
      </c>
      <c r="P118" s="37">
        <f>IF($A118="","",IF($F118="是","⛔淘汰(一票否决)",IF($O118&lt;='参数配置'!$B$12,"⭐优先上架Top N",IF($N118&gt;='参数配置'!$B$13,"观察跟进","暂缓/优化后再评"))))</f>
        <v/>
      </c>
    </row>
    <row r="119">
      <c r="A119" s="52" t="n"/>
      <c r="B119" s="46">
        <f>IFERROR(VLOOKUP($A119,'SKU主表'!$A:$M,2,0),"")</f>
        <v/>
      </c>
      <c r="C119" s="47">
        <f>IFERROR(VLOOKUP($A119,'SKU主表'!$A:$M,9,0),"")</f>
        <v/>
      </c>
      <c r="D119" s="52" t="n"/>
      <c r="E119" s="52" t="n"/>
      <c r="F119" s="48">
        <f>IF($A119="","",IF(OR($C119="禁售",$C119="需资质",$D119="是",$E119="是"),"是","否"))</f>
        <v/>
      </c>
      <c r="G119" s="53" t="n"/>
      <c r="H119" s="53" t="n"/>
      <c r="I119" s="53" t="n"/>
      <c r="J119" s="53" t="n"/>
      <c r="K119" s="53" t="n"/>
      <c r="L119" s="53" t="n"/>
      <c r="M119" s="53" t="n"/>
      <c r="N119" s="50">
        <f>IF($A119="","",IF($F119="是",0,SUMPRODUCT($G119:$M119,$G$3:$M$3)))</f>
        <v/>
      </c>
      <c r="O119" s="51">
        <f>IF(OR($A119="",$N119=""),"",RANK($N119,$N$5:$N$204,0))</f>
        <v/>
      </c>
      <c r="P119" s="37">
        <f>IF($A119="","",IF($F119="是","⛔淘汰(一票否决)",IF($O119&lt;='参数配置'!$B$12,"⭐优先上架Top N",IF($N119&gt;='参数配置'!$B$13,"观察跟进","暂缓/优化后再评"))))</f>
        <v/>
      </c>
    </row>
    <row r="120">
      <c r="A120" s="52" t="n"/>
      <c r="B120" s="46">
        <f>IFERROR(VLOOKUP($A120,'SKU主表'!$A:$M,2,0),"")</f>
        <v/>
      </c>
      <c r="C120" s="47">
        <f>IFERROR(VLOOKUP($A120,'SKU主表'!$A:$M,9,0),"")</f>
        <v/>
      </c>
      <c r="D120" s="52" t="n"/>
      <c r="E120" s="52" t="n"/>
      <c r="F120" s="48">
        <f>IF($A120="","",IF(OR($C120="禁售",$C120="需资质",$D120="是",$E120="是"),"是","否"))</f>
        <v/>
      </c>
      <c r="G120" s="53" t="n"/>
      <c r="H120" s="53" t="n"/>
      <c r="I120" s="53" t="n"/>
      <c r="J120" s="53" t="n"/>
      <c r="K120" s="53" t="n"/>
      <c r="L120" s="53" t="n"/>
      <c r="M120" s="53" t="n"/>
      <c r="N120" s="50">
        <f>IF($A120="","",IF($F120="是",0,SUMPRODUCT($G120:$M120,$G$3:$M$3)))</f>
        <v/>
      </c>
      <c r="O120" s="51">
        <f>IF(OR($A120="",$N120=""),"",RANK($N120,$N$5:$N$204,0))</f>
        <v/>
      </c>
      <c r="P120" s="37">
        <f>IF($A120="","",IF($F120="是","⛔淘汰(一票否决)",IF($O120&lt;='参数配置'!$B$12,"⭐优先上架Top N",IF($N120&gt;='参数配置'!$B$13,"观察跟进","暂缓/优化后再评"))))</f>
        <v/>
      </c>
    </row>
    <row r="121">
      <c r="A121" s="52" t="n"/>
      <c r="B121" s="46">
        <f>IFERROR(VLOOKUP($A121,'SKU主表'!$A:$M,2,0),"")</f>
        <v/>
      </c>
      <c r="C121" s="47">
        <f>IFERROR(VLOOKUP($A121,'SKU主表'!$A:$M,9,0),"")</f>
        <v/>
      </c>
      <c r="D121" s="52" t="n"/>
      <c r="E121" s="52" t="n"/>
      <c r="F121" s="48">
        <f>IF($A121="","",IF(OR($C121="禁售",$C121="需资质",$D121="是",$E121="是"),"是","否"))</f>
        <v/>
      </c>
      <c r="G121" s="53" t="n"/>
      <c r="H121" s="53" t="n"/>
      <c r="I121" s="53" t="n"/>
      <c r="J121" s="53" t="n"/>
      <c r="K121" s="53" t="n"/>
      <c r="L121" s="53" t="n"/>
      <c r="M121" s="53" t="n"/>
      <c r="N121" s="50">
        <f>IF($A121="","",IF($F121="是",0,SUMPRODUCT($G121:$M121,$G$3:$M$3)))</f>
        <v/>
      </c>
      <c r="O121" s="51">
        <f>IF(OR($A121="",$N121=""),"",RANK($N121,$N$5:$N$204,0))</f>
        <v/>
      </c>
      <c r="P121" s="37">
        <f>IF($A121="","",IF($F121="是","⛔淘汰(一票否决)",IF($O121&lt;='参数配置'!$B$12,"⭐优先上架Top N",IF($N121&gt;='参数配置'!$B$13,"观察跟进","暂缓/优化后再评"))))</f>
        <v/>
      </c>
    </row>
    <row r="122">
      <c r="A122" s="52" t="n"/>
      <c r="B122" s="46">
        <f>IFERROR(VLOOKUP($A122,'SKU主表'!$A:$M,2,0),"")</f>
        <v/>
      </c>
      <c r="C122" s="47">
        <f>IFERROR(VLOOKUP($A122,'SKU主表'!$A:$M,9,0),"")</f>
        <v/>
      </c>
      <c r="D122" s="52" t="n"/>
      <c r="E122" s="52" t="n"/>
      <c r="F122" s="48">
        <f>IF($A122="","",IF(OR($C122="禁售",$C122="需资质",$D122="是",$E122="是"),"是","否"))</f>
        <v/>
      </c>
      <c r="G122" s="53" t="n"/>
      <c r="H122" s="53" t="n"/>
      <c r="I122" s="53" t="n"/>
      <c r="J122" s="53" t="n"/>
      <c r="K122" s="53" t="n"/>
      <c r="L122" s="53" t="n"/>
      <c r="M122" s="53" t="n"/>
      <c r="N122" s="50">
        <f>IF($A122="","",IF($F122="是",0,SUMPRODUCT($G122:$M122,$G$3:$M$3)))</f>
        <v/>
      </c>
      <c r="O122" s="51">
        <f>IF(OR($A122="",$N122=""),"",RANK($N122,$N$5:$N$204,0))</f>
        <v/>
      </c>
      <c r="P122" s="37">
        <f>IF($A122="","",IF($F122="是","⛔淘汰(一票否决)",IF($O122&lt;='参数配置'!$B$12,"⭐优先上架Top N",IF($N122&gt;='参数配置'!$B$13,"观察跟进","暂缓/优化后再评"))))</f>
        <v/>
      </c>
    </row>
    <row r="123">
      <c r="A123" s="52" t="n"/>
      <c r="B123" s="46">
        <f>IFERROR(VLOOKUP($A123,'SKU主表'!$A:$M,2,0),"")</f>
        <v/>
      </c>
      <c r="C123" s="47">
        <f>IFERROR(VLOOKUP($A123,'SKU主表'!$A:$M,9,0),"")</f>
        <v/>
      </c>
      <c r="D123" s="52" t="n"/>
      <c r="E123" s="52" t="n"/>
      <c r="F123" s="48">
        <f>IF($A123="","",IF(OR($C123="禁售",$C123="需资质",$D123="是",$E123="是"),"是","否"))</f>
        <v/>
      </c>
      <c r="G123" s="53" t="n"/>
      <c r="H123" s="53" t="n"/>
      <c r="I123" s="53" t="n"/>
      <c r="J123" s="53" t="n"/>
      <c r="K123" s="53" t="n"/>
      <c r="L123" s="53" t="n"/>
      <c r="M123" s="53" t="n"/>
      <c r="N123" s="50">
        <f>IF($A123="","",IF($F123="是",0,SUMPRODUCT($G123:$M123,$G$3:$M$3)))</f>
        <v/>
      </c>
      <c r="O123" s="51">
        <f>IF(OR($A123="",$N123=""),"",RANK($N123,$N$5:$N$204,0))</f>
        <v/>
      </c>
      <c r="P123" s="37">
        <f>IF($A123="","",IF($F123="是","⛔淘汰(一票否决)",IF($O123&lt;='参数配置'!$B$12,"⭐优先上架Top N",IF($N123&gt;='参数配置'!$B$13,"观察跟进","暂缓/优化后再评"))))</f>
        <v/>
      </c>
    </row>
    <row r="124">
      <c r="A124" s="52" t="n"/>
      <c r="B124" s="46">
        <f>IFERROR(VLOOKUP($A124,'SKU主表'!$A:$M,2,0),"")</f>
        <v/>
      </c>
      <c r="C124" s="47">
        <f>IFERROR(VLOOKUP($A124,'SKU主表'!$A:$M,9,0),"")</f>
        <v/>
      </c>
      <c r="D124" s="52" t="n"/>
      <c r="E124" s="52" t="n"/>
      <c r="F124" s="48">
        <f>IF($A124="","",IF(OR($C124="禁售",$C124="需资质",$D124="是",$E124="是"),"是","否"))</f>
        <v/>
      </c>
      <c r="G124" s="53" t="n"/>
      <c r="H124" s="53" t="n"/>
      <c r="I124" s="53" t="n"/>
      <c r="J124" s="53" t="n"/>
      <c r="K124" s="53" t="n"/>
      <c r="L124" s="53" t="n"/>
      <c r="M124" s="53" t="n"/>
      <c r="N124" s="50">
        <f>IF($A124="","",IF($F124="是",0,SUMPRODUCT($G124:$M124,$G$3:$M$3)))</f>
        <v/>
      </c>
      <c r="O124" s="51">
        <f>IF(OR($A124="",$N124=""),"",RANK($N124,$N$5:$N$204,0))</f>
        <v/>
      </c>
      <c r="P124" s="37">
        <f>IF($A124="","",IF($F124="是","⛔淘汰(一票否决)",IF($O124&lt;='参数配置'!$B$12,"⭐优先上架Top N",IF($N124&gt;='参数配置'!$B$13,"观察跟进","暂缓/优化后再评"))))</f>
        <v/>
      </c>
    </row>
    <row r="125">
      <c r="A125" s="52" t="n"/>
      <c r="B125" s="46">
        <f>IFERROR(VLOOKUP($A125,'SKU主表'!$A:$M,2,0),"")</f>
        <v/>
      </c>
      <c r="C125" s="47">
        <f>IFERROR(VLOOKUP($A125,'SKU主表'!$A:$M,9,0),"")</f>
        <v/>
      </c>
      <c r="D125" s="52" t="n"/>
      <c r="E125" s="52" t="n"/>
      <c r="F125" s="48">
        <f>IF($A125="","",IF(OR($C125="禁售",$C125="需资质",$D125="是",$E125="是"),"是","否"))</f>
        <v/>
      </c>
      <c r="G125" s="53" t="n"/>
      <c r="H125" s="53" t="n"/>
      <c r="I125" s="53" t="n"/>
      <c r="J125" s="53" t="n"/>
      <c r="K125" s="53" t="n"/>
      <c r="L125" s="53" t="n"/>
      <c r="M125" s="53" t="n"/>
      <c r="N125" s="50">
        <f>IF($A125="","",IF($F125="是",0,SUMPRODUCT($G125:$M125,$G$3:$M$3)))</f>
        <v/>
      </c>
      <c r="O125" s="51">
        <f>IF(OR($A125="",$N125=""),"",RANK($N125,$N$5:$N$204,0))</f>
        <v/>
      </c>
      <c r="P125" s="37">
        <f>IF($A125="","",IF($F125="是","⛔淘汰(一票否决)",IF($O125&lt;='参数配置'!$B$12,"⭐优先上架Top N",IF($N125&gt;='参数配置'!$B$13,"观察跟进","暂缓/优化后再评"))))</f>
        <v/>
      </c>
    </row>
    <row r="126">
      <c r="A126" s="52" t="n"/>
      <c r="B126" s="46">
        <f>IFERROR(VLOOKUP($A126,'SKU主表'!$A:$M,2,0),"")</f>
        <v/>
      </c>
      <c r="C126" s="47">
        <f>IFERROR(VLOOKUP($A126,'SKU主表'!$A:$M,9,0),"")</f>
        <v/>
      </c>
      <c r="D126" s="52" t="n"/>
      <c r="E126" s="52" t="n"/>
      <c r="F126" s="48">
        <f>IF($A126="","",IF(OR($C126="禁售",$C126="需资质",$D126="是",$E126="是"),"是","否"))</f>
        <v/>
      </c>
      <c r="G126" s="53" t="n"/>
      <c r="H126" s="53" t="n"/>
      <c r="I126" s="53" t="n"/>
      <c r="J126" s="53" t="n"/>
      <c r="K126" s="53" t="n"/>
      <c r="L126" s="53" t="n"/>
      <c r="M126" s="53" t="n"/>
      <c r="N126" s="50">
        <f>IF($A126="","",IF($F126="是",0,SUMPRODUCT($G126:$M126,$G$3:$M$3)))</f>
        <v/>
      </c>
      <c r="O126" s="51">
        <f>IF(OR($A126="",$N126=""),"",RANK($N126,$N$5:$N$204,0))</f>
        <v/>
      </c>
      <c r="P126" s="37">
        <f>IF($A126="","",IF($F126="是","⛔淘汰(一票否决)",IF($O126&lt;='参数配置'!$B$12,"⭐优先上架Top N",IF($N126&gt;='参数配置'!$B$13,"观察跟进","暂缓/优化后再评"))))</f>
        <v/>
      </c>
    </row>
    <row r="127">
      <c r="A127" s="52" t="n"/>
      <c r="B127" s="46">
        <f>IFERROR(VLOOKUP($A127,'SKU主表'!$A:$M,2,0),"")</f>
        <v/>
      </c>
      <c r="C127" s="47">
        <f>IFERROR(VLOOKUP($A127,'SKU主表'!$A:$M,9,0),"")</f>
        <v/>
      </c>
      <c r="D127" s="52" t="n"/>
      <c r="E127" s="52" t="n"/>
      <c r="F127" s="48">
        <f>IF($A127="","",IF(OR($C127="禁售",$C127="需资质",$D127="是",$E127="是"),"是","否"))</f>
        <v/>
      </c>
      <c r="G127" s="53" t="n"/>
      <c r="H127" s="53" t="n"/>
      <c r="I127" s="53" t="n"/>
      <c r="J127" s="53" t="n"/>
      <c r="K127" s="53" t="n"/>
      <c r="L127" s="53" t="n"/>
      <c r="M127" s="53" t="n"/>
      <c r="N127" s="50">
        <f>IF($A127="","",IF($F127="是",0,SUMPRODUCT($G127:$M127,$G$3:$M$3)))</f>
        <v/>
      </c>
      <c r="O127" s="51">
        <f>IF(OR($A127="",$N127=""),"",RANK($N127,$N$5:$N$204,0))</f>
        <v/>
      </c>
      <c r="P127" s="37">
        <f>IF($A127="","",IF($F127="是","⛔淘汰(一票否决)",IF($O127&lt;='参数配置'!$B$12,"⭐优先上架Top N",IF($N127&gt;='参数配置'!$B$13,"观察跟进","暂缓/优化后再评"))))</f>
        <v/>
      </c>
    </row>
    <row r="128">
      <c r="A128" s="52" t="n"/>
      <c r="B128" s="46">
        <f>IFERROR(VLOOKUP($A128,'SKU主表'!$A:$M,2,0),"")</f>
        <v/>
      </c>
      <c r="C128" s="47">
        <f>IFERROR(VLOOKUP($A128,'SKU主表'!$A:$M,9,0),"")</f>
        <v/>
      </c>
      <c r="D128" s="52" t="n"/>
      <c r="E128" s="52" t="n"/>
      <c r="F128" s="48">
        <f>IF($A128="","",IF(OR($C128="禁售",$C128="需资质",$D128="是",$E128="是"),"是","否"))</f>
        <v/>
      </c>
      <c r="G128" s="53" t="n"/>
      <c r="H128" s="53" t="n"/>
      <c r="I128" s="53" t="n"/>
      <c r="J128" s="53" t="n"/>
      <c r="K128" s="53" t="n"/>
      <c r="L128" s="53" t="n"/>
      <c r="M128" s="53" t="n"/>
      <c r="N128" s="50">
        <f>IF($A128="","",IF($F128="是",0,SUMPRODUCT($G128:$M128,$G$3:$M$3)))</f>
        <v/>
      </c>
      <c r="O128" s="51">
        <f>IF(OR($A128="",$N128=""),"",RANK($N128,$N$5:$N$204,0))</f>
        <v/>
      </c>
      <c r="P128" s="37">
        <f>IF($A128="","",IF($F128="是","⛔淘汰(一票否决)",IF($O128&lt;='参数配置'!$B$12,"⭐优先上架Top N",IF($N128&gt;='参数配置'!$B$13,"观察跟进","暂缓/优化后再评"))))</f>
        <v/>
      </c>
    </row>
    <row r="129">
      <c r="A129" s="52" t="n"/>
      <c r="B129" s="46">
        <f>IFERROR(VLOOKUP($A129,'SKU主表'!$A:$M,2,0),"")</f>
        <v/>
      </c>
      <c r="C129" s="47">
        <f>IFERROR(VLOOKUP($A129,'SKU主表'!$A:$M,9,0),"")</f>
        <v/>
      </c>
      <c r="D129" s="52" t="n"/>
      <c r="E129" s="52" t="n"/>
      <c r="F129" s="48">
        <f>IF($A129="","",IF(OR($C129="禁售",$C129="需资质",$D129="是",$E129="是"),"是","否"))</f>
        <v/>
      </c>
      <c r="G129" s="53" t="n"/>
      <c r="H129" s="53" t="n"/>
      <c r="I129" s="53" t="n"/>
      <c r="J129" s="53" t="n"/>
      <c r="K129" s="53" t="n"/>
      <c r="L129" s="53" t="n"/>
      <c r="M129" s="53" t="n"/>
      <c r="N129" s="50">
        <f>IF($A129="","",IF($F129="是",0,SUMPRODUCT($G129:$M129,$G$3:$M$3)))</f>
        <v/>
      </c>
      <c r="O129" s="51">
        <f>IF(OR($A129="",$N129=""),"",RANK($N129,$N$5:$N$204,0))</f>
        <v/>
      </c>
      <c r="P129" s="37">
        <f>IF($A129="","",IF($F129="是","⛔淘汰(一票否决)",IF($O129&lt;='参数配置'!$B$12,"⭐优先上架Top N",IF($N129&gt;='参数配置'!$B$13,"观察跟进","暂缓/优化后再评"))))</f>
        <v/>
      </c>
    </row>
    <row r="130">
      <c r="A130" s="52" t="n"/>
      <c r="B130" s="46">
        <f>IFERROR(VLOOKUP($A130,'SKU主表'!$A:$M,2,0),"")</f>
        <v/>
      </c>
      <c r="C130" s="47">
        <f>IFERROR(VLOOKUP($A130,'SKU主表'!$A:$M,9,0),"")</f>
        <v/>
      </c>
      <c r="D130" s="52" t="n"/>
      <c r="E130" s="52" t="n"/>
      <c r="F130" s="48">
        <f>IF($A130="","",IF(OR($C130="禁售",$C130="需资质",$D130="是",$E130="是"),"是","否"))</f>
        <v/>
      </c>
      <c r="G130" s="53" t="n"/>
      <c r="H130" s="53" t="n"/>
      <c r="I130" s="53" t="n"/>
      <c r="J130" s="53" t="n"/>
      <c r="K130" s="53" t="n"/>
      <c r="L130" s="53" t="n"/>
      <c r="M130" s="53" t="n"/>
      <c r="N130" s="50">
        <f>IF($A130="","",IF($F130="是",0,SUMPRODUCT($G130:$M130,$G$3:$M$3)))</f>
        <v/>
      </c>
      <c r="O130" s="51">
        <f>IF(OR($A130="",$N130=""),"",RANK($N130,$N$5:$N$204,0))</f>
        <v/>
      </c>
      <c r="P130" s="37">
        <f>IF($A130="","",IF($F130="是","⛔淘汰(一票否决)",IF($O130&lt;='参数配置'!$B$12,"⭐优先上架Top N",IF($N130&gt;='参数配置'!$B$13,"观察跟进","暂缓/优化后再评"))))</f>
        <v/>
      </c>
    </row>
    <row r="131">
      <c r="A131" s="52" t="n"/>
      <c r="B131" s="46">
        <f>IFERROR(VLOOKUP($A131,'SKU主表'!$A:$M,2,0),"")</f>
        <v/>
      </c>
      <c r="C131" s="47">
        <f>IFERROR(VLOOKUP($A131,'SKU主表'!$A:$M,9,0),"")</f>
        <v/>
      </c>
      <c r="D131" s="52" t="n"/>
      <c r="E131" s="52" t="n"/>
      <c r="F131" s="48">
        <f>IF($A131="","",IF(OR($C131="禁售",$C131="需资质",$D131="是",$E131="是"),"是","否"))</f>
        <v/>
      </c>
      <c r="G131" s="53" t="n"/>
      <c r="H131" s="53" t="n"/>
      <c r="I131" s="53" t="n"/>
      <c r="J131" s="53" t="n"/>
      <c r="K131" s="53" t="n"/>
      <c r="L131" s="53" t="n"/>
      <c r="M131" s="53" t="n"/>
      <c r="N131" s="50">
        <f>IF($A131="","",IF($F131="是",0,SUMPRODUCT($G131:$M131,$G$3:$M$3)))</f>
        <v/>
      </c>
      <c r="O131" s="51">
        <f>IF(OR($A131="",$N131=""),"",RANK($N131,$N$5:$N$204,0))</f>
        <v/>
      </c>
      <c r="P131" s="37">
        <f>IF($A131="","",IF($F131="是","⛔淘汰(一票否决)",IF($O131&lt;='参数配置'!$B$12,"⭐优先上架Top N",IF($N131&gt;='参数配置'!$B$13,"观察跟进","暂缓/优化后再评"))))</f>
        <v/>
      </c>
    </row>
    <row r="132">
      <c r="A132" s="52" t="n"/>
      <c r="B132" s="46">
        <f>IFERROR(VLOOKUP($A132,'SKU主表'!$A:$M,2,0),"")</f>
        <v/>
      </c>
      <c r="C132" s="47">
        <f>IFERROR(VLOOKUP($A132,'SKU主表'!$A:$M,9,0),"")</f>
        <v/>
      </c>
      <c r="D132" s="52" t="n"/>
      <c r="E132" s="52" t="n"/>
      <c r="F132" s="48">
        <f>IF($A132="","",IF(OR($C132="禁售",$C132="需资质",$D132="是",$E132="是"),"是","否"))</f>
        <v/>
      </c>
      <c r="G132" s="53" t="n"/>
      <c r="H132" s="53" t="n"/>
      <c r="I132" s="53" t="n"/>
      <c r="J132" s="53" t="n"/>
      <c r="K132" s="53" t="n"/>
      <c r="L132" s="53" t="n"/>
      <c r="M132" s="53" t="n"/>
      <c r="N132" s="50">
        <f>IF($A132="","",IF($F132="是",0,SUMPRODUCT($G132:$M132,$G$3:$M$3)))</f>
        <v/>
      </c>
      <c r="O132" s="51">
        <f>IF(OR($A132="",$N132=""),"",RANK($N132,$N$5:$N$204,0))</f>
        <v/>
      </c>
      <c r="P132" s="37">
        <f>IF($A132="","",IF($F132="是","⛔淘汰(一票否决)",IF($O132&lt;='参数配置'!$B$12,"⭐优先上架Top N",IF($N132&gt;='参数配置'!$B$13,"观察跟进","暂缓/优化后再评"))))</f>
        <v/>
      </c>
    </row>
    <row r="133">
      <c r="A133" s="52" t="n"/>
      <c r="B133" s="46">
        <f>IFERROR(VLOOKUP($A133,'SKU主表'!$A:$M,2,0),"")</f>
        <v/>
      </c>
      <c r="C133" s="47">
        <f>IFERROR(VLOOKUP($A133,'SKU主表'!$A:$M,9,0),"")</f>
        <v/>
      </c>
      <c r="D133" s="52" t="n"/>
      <c r="E133" s="52" t="n"/>
      <c r="F133" s="48">
        <f>IF($A133="","",IF(OR($C133="禁售",$C133="需资质",$D133="是",$E133="是"),"是","否"))</f>
        <v/>
      </c>
      <c r="G133" s="53" t="n"/>
      <c r="H133" s="53" t="n"/>
      <c r="I133" s="53" t="n"/>
      <c r="J133" s="53" t="n"/>
      <c r="K133" s="53" t="n"/>
      <c r="L133" s="53" t="n"/>
      <c r="M133" s="53" t="n"/>
      <c r="N133" s="50">
        <f>IF($A133="","",IF($F133="是",0,SUMPRODUCT($G133:$M133,$G$3:$M$3)))</f>
        <v/>
      </c>
      <c r="O133" s="51">
        <f>IF(OR($A133="",$N133=""),"",RANK($N133,$N$5:$N$204,0))</f>
        <v/>
      </c>
      <c r="P133" s="37">
        <f>IF($A133="","",IF($F133="是","⛔淘汰(一票否决)",IF($O133&lt;='参数配置'!$B$12,"⭐优先上架Top N",IF($N133&gt;='参数配置'!$B$13,"观察跟进","暂缓/优化后再评"))))</f>
        <v/>
      </c>
    </row>
    <row r="134">
      <c r="A134" s="52" t="n"/>
      <c r="B134" s="46">
        <f>IFERROR(VLOOKUP($A134,'SKU主表'!$A:$M,2,0),"")</f>
        <v/>
      </c>
      <c r="C134" s="47">
        <f>IFERROR(VLOOKUP($A134,'SKU主表'!$A:$M,9,0),"")</f>
        <v/>
      </c>
      <c r="D134" s="52" t="n"/>
      <c r="E134" s="52" t="n"/>
      <c r="F134" s="48">
        <f>IF($A134="","",IF(OR($C134="禁售",$C134="需资质",$D134="是",$E134="是"),"是","否"))</f>
        <v/>
      </c>
      <c r="G134" s="53" t="n"/>
      <c r="H134" s="53" t="n"/>
      <c r="I134" s="53" t="n"/>
      <c r="J134" s="53" t="n"/>
      <c r="K134" s="53" t="n"/>
      <c r="L134" s="53" t="n"/>
      <c r="M134" s="53" t="n"/>
      <c r="N134" s="50">
        <f>IF($A134="","",IF($F134="是",0,SUMPRODUCT($G134:$M134,$G$3:$M$3)))</f>
        <v/>
      </c>
      <c r="O134" s="51">
        <f>IF(OR($A134="",$N134=""),"",RANK($N134,$N$5:$N$204,0))</f>
        <v/>
      </c>
      <c r="P134" s="37">
        <f>IF($A134="","",IF($F134="是","⛔淘汰(一票否决)",IF($O134&lt;='参数配置'!$B$12,"⭐优先上架Top N",IF($N134&gt;='参数配置'!$B$13,"观察跟进","暂缓/优化后再评"))))</f>
        <v/>
      </c>
    </row>
    <row r="135">
      <c r="A135" s="52" t="n"/>
      <c r="B135" s="46">
        <f>IFERROR(VLOOKUP($A135,'SKU主表'!$A:$M,2,0),"")</f>
        <v/>
      </c>
      <c r="C135" s="47">
        <f>IFERROR(VLOOKUP($A135,'SKU主表'!$A:$M,9,0),"")</f>
        <v/>
      </c>
      <c r="D135" s="52" t="n"/>
      <c r="E135" s="52" t="n"/>
      <c r="F135" s="48">
        <f>IF($A135="","",IF(OR($C135="禁售",$C135="需资质",$D135="是",$E135="是"),"是","否"))</f>
        <v/>
      </c>
      <c r="G135" s="53" t="n"/>
      <c r="H135" s="53" t="n"/>
      <c r="I135" s="53" t="n"/>
      <c r="J135" s="53" t="n"/>
      <c r="K135" s="53" t="n"/>
      <c r="L135" s="53" t="n"/>
      <c r="M135" s="53" t="n"/>
      <c r="N135" s="50">
        <f>IF($A135="","",IF($F135="是",0,SUMPRODUCT($G135:$M135,$G$3:$M$3)))</f>
        <v/>
      </c>
      <c r="O135" s="51">
        <f>IF(OR($A135="",$N135=""),"",RANK($N135,$N$5:$N$204,0))</f>
        <v/>
      </c>
      <c r="P135" s="37">
        <f>IF($A135="","",IF($F135="是","⛔淘汰(一票否决)",IF($O135&lt;='参数配置'!$B$12,"⭐优先上架Top N",IF($N135&gt;='参数配置'!$B$13,"观察跟进","暂缓/优化后再评"))))</f>
        <v/>
      </c>
    </row>
    <row r="136">
      <c r="A136" s="52" t="n"/>
      <c r="B136" s="46">
        <f>IFERROR(VLOOKUP($A136,'SKU主表'!$A:$M,2,0),"")</f>
        <v/>
      </c>
      <c r="C136" s="47">
        <f>IFERROR(VLOOKUP($A136,'SKU主表'!$A:$M,9,0),"")</f>
        <v/>
      </c>
      <c r="D136" s="52" t="n"/>
      <c r="E136" s="52" t="n"/>
      <c r="F136" s="48">
        <f>IF($A136="","",IF(OR($C136="禁售",$C136="需资质",$D136="是",$E136="是"),"是","否"))</f>
        <v/>
      </c>
      <c r="G136" s="53" t="n"/>
      <c r="H136" s="53" t="n"/>
      <c r="I136" s="53" t="n"/>
      <c r="J136" s="53" t="n"/>
      <c r="K136" s="53" t="n"/>
      <c r="L136" s="53" t="n"/>
      <c r="M136" s="53" t="n"/>
      <c r="N136" s="50">
        <f>IF($A136="","",IF($F136="是",0,SUMPRODUCT($G136:$M136,$G$3:$M$3)))</f>
        <v/>
      </c>
      <c r="O136" s="51">
        <f>IF(OR($A136="",$N136=""),"",RANK($N136,$N$5:$N$204,0))</f>
        <v/>
      </c>
      <c r="P136" s="37">
        <f>IF($A136="","",IF($F136="是","⛔淘汰(一票否决)",IF($O136&lt;='参数配置'!$B$12,"⭐优先上架Top N",IF($N136&gt;='参数配置'!$B$13,"观察跟进","暂缓/优化后再评"))))</f>
        <v/>
      </c>
    </row>
    <row r="137">
      <c r="A137" s="52" t="n"/>
      <c r="B137" s="46">
        <f>IFERROR(VLOOKUP($A137,'SKU主表'!$A:$M,2,0),"")</f>
        <v/>
      </c>
      <c r="C137" s="47">
        <f>IFERROR(VLOOKUP($A137,'SKU主表'!$A:$M,9,0),"")</f>
        <v/>
      </c>
      <c r="D137" s="52" t="n"/>
      <c r="E137" s="52" t="n"/>
      <c r="F137" s="48">
        <f>IF($A137="","",IF(OR($C137="禁售",$C137="需资质",$D137="是",$E137="是"),"是","否"))</f>
        <v/>
      </c>
      <c r="G137" s="53" t="n"/>
      <c r="H137" s="53" t="n"/>
      <c r="I137" s="53" t="n"/>
      <c r="J137" s="53" t="n"/>
      <c r="K137" s="53" t="n"/>
      <c r="L137" s="53" t="n"/>
      <c r="M137" s="53" t="n"/>
      <c r="N137" s="50">
        <f>IF($A137="","",IF($F137="是",0,SUMPRODUCT($G137:$M137,$G$3:$M$3)))</f>
        <v/>
      </c>
      <c r="O137" s="51">
        <f>IF(OR($A137="",$N137=""),"",RANK($N137,$N$5:$N$204,0))</f>
        <v/>
      </c>
      <c r="P137" s="37">
        <f>IF($A137="","",IF($F137="是","⛔淘汰(一票否决)",IF($O137&lt;='参数配置'!$B$12,"⭐优先上架Top N",IF($N137&gt;='参数配置'!$B$13,"观察跟进","暂缓/优化后再评"))))</f>
        <v/>
      </c>
    </row>
    <row r="138">
      <c r="A138" s="52" t="n"/>
      <c r="B138" s="46">
        <f>IFERROR(VLOOKUP($A138,'SKU主表'!$A:$M,2,0),"")</f>
        <v/>
      </c>
      <c r="C138" s="47">
        <f>IFERROR(VLOOKUP($A138,'SKU主表'!$A:$M,9,0),"")</f>
        <v/>
      </c>
      <c r="D138" s="52" t="n"/>
      <c r="E138" s="52" t="n"/>
      <c r="F138" s="48">
        <f>IF($A138="","",IF(OR($C138="禁售",$C138="需资质",$D138="是",$E138="是"),"是","否"))</f>
        <v/>
      </c>
      <c r="G138" s="53" t="n"/>
      <c r="H138" s="53" t="n"/>
      <c r="I138" s="53" t="n"/>
      <c r="J138" s="53" t="n"/>
      <c r="K138" s="53" t="n"/>
      <c r="L138" s="53" t="n"/>
      <c r="M138" s="53" t="n"/>
      <c r="N138" s="50">
        <f>IF($A138="","",IF($F138="是",0,SUMPRODUCT($G138:$M138,$G$3:$M$3)))</f>
        <v/>
      </c>
      <c r="O138" s="51">
        <f>IF(OR($A138="",$N138=""),"",RANK($N138,$N$5:$N$204,0))</f>
        <v/>
      </c>
      <c r="P138" s="37">
        <f>IF($A138="","",IF($F138="是","⛔淘汰(一票否决)",IF($O138&lt;='参数配置'!$B$12,"⭐优先上架Top N",IF($N138&gt;='参数配置'!$B$13,"观察跟进","暂缓/优化后再评"))))</f>
        <v/>
      </c>
    </row>
    <row r="139">
      <c r="A139" s="52" t="n"/>
      <c r="B139" s="46">
        <f>IFERROR(VLOOKUP($A139,'SKU主表'!$A:$M,2,0),"")</f>
        <v/>
      </c>
      <c r="C139" s="47">
        <f>IFERROR(VLOOKUP($A139,'SKU主表'!$A:$M,9,0),"")</f>
        <v/>
      </c>
      <c r="D139" s="52" t="n"/>
      <c r="E139" s="52" t="n"/>
      <c r="F139" s="48">
        <f>IF($A139="","",IF(OR($C139="禁售",$C139="需资质",$D139="是",$E139="是"),"是","否"))</f>
        <v/>
      </c>
      <c r="G139" s="53" t="n"/>
      <c r="H139" s="53" t="n"/>
      <c r="I139" s="53" t="n"/>
      <c r="J139" s="53" t="n"/>
      <c r="K139" s="53" t="n"/>
      <c r="L139" s="53" t="n"/>
      <c r="M139" s="53" t="n"/>
      <c r="N139" s="50">
        <f>IF($A139="","",IF($F139="是",0,SUMPRODUCT($G139:$M139,$G$3:$M$3)))</f>
        <v/>
      </c>
      <c r="O139" s="51">
        <f>IF(OR($A139="",$N139=""),"",RANK($N139,$N$5:$N$204,0))</f>
        <v/>
      </c>
      <c r="P139" s="37">
        <f>IF($A139="","",IF($F139="是","⛔淘汰(一票否决)",IF($O139&lt;='参数配置'!$B$12,"⭐优先上架Top N",IF($N139&gt;='参数配置'!$B$13,"观察跟进","暂缓/优化后再评"))))</f>
        <v/>
      </c>
    </row>
    <row r="140">
      <c r="A140" s="52" t="n"/>
      <c r="B140" s="46">
        <f>IFERROR(VLOOKUP($A140,'SKU主表'!$A:$M,2,0),"")</f>
        <v/>
      </c>
      <c r="C140" s="47">
        <f>IFERROR(VLOOKUP($A140,'SKU主表'!$A:$M,9,0),"")</f>
        <v/>
      </c>
      <c r="D140" s="52" t="n"/>
      <c r="E140" s="52" t="n"/>
      <c r="F140" s="48">
        <f>IF($A140="","",IF(OR($C140="禁售",$C140="需资质",$D140="是",$E140="是"),"是","否"))</f>
        <v/>
      </c>
      <c r="G140" s="53" t="n"/>
      <c r="H140" s="53" t="n"/>
      <c r="I140" s="53" t="n"/>
      <c r="J140" s="53" t="n"/>
      <c r="K140" s="53" t="n"/>
      <c r="L140" s="53" t="n"/>
      <c r="M140" s="53" t="n"/>
      <c r="N140" s="50">
        <f>IF($A140="","",IF($F140="是",0,SUMPRODUCT($G140:$M140,$G$3:$M$3)))</f>
        <v/>
      </c>
      <c r="O140" s="51">
        <f>IF(OR($A140="",$N140=""),"",RANK($N140,$N$5:$N$204,0))</f>
        <v/>
      </c>
      <c r="P140" s="37">
        <f>IF($A140="","",IF($F140="是","⛔淘汰(一票否决)",IF($O140&lt;='参数配置'!$B$12,"⭐优先上架Top N",IF($N140&gt;='参数配置'!$B$13,"观察跟进","暂缓/优化后再评"))))</f>
        <v/>
      </c>
    </row>
    <row r="141">
      <c r="A141" s="52" t="n"/>
      <c r="B141" s="46">
        <f>IFERROR(VLOOKUP($A141,'SKU主表'!$A:$M,2,0),"")</f>
        <v/>
      </c>
      <c r="C141" s="47">
        <f>IFERROR(VLOOKUP($A141,'SKU主表'!$A:$M,9,0),"")</f>
        <v/>
      </c>
      <c r="D141" s="52" t="n"/>
      <c r="E141" s="52" t="n"/>
      <c r="F141" s="48">
        <f>IF($A141="","",IF(OR($C141="禁售",$C141="需资质",$D141="是",$E141="是"),"是","否"))</f>
        <v/>
      </c>
      <c r="G141" s="53" t="n"/>
      <c r="H141" s="53" t="n"/>
      <c r="I141" s="53" t="n"/>
      <c r="J141" s="53" t="n"/>
      <c r="K141" s="53" t="n"/>
      <c r="L141" s="53" t="n"/>
      <c r="M141" s="53" t="n"/>
      <c r="N141" s="50">
        <f>IF($A141="","",IF($F141="是",0,SUMPRODUCT($G141:$M141,$G$3:$M$3)))</f>
        <v/>
      </c>
      <c r="O141" s="51">
        <f>IF(OR($A141="",$N141=""),"",RANK($N141,$N$5:$N$204,0))</f>
        <v/>
      </c>
      <c r="P141" s="37">
        <f>IF($A141="","",IF($F141="是","⛔淘汰(一票否决)",IF($O141&lt;='参数配置'!$B$12,"⭐优先上架Top N",IF($N141&gt;='参数配置'!$B$13,"观察跟进","暂缓/优化后再评"))))</f>
        <v/>
      </c>
    </row>
    <row r="142">
      <c r="A142" s="52" t="n"/>
      <c r="B142" s="46">
        <f>IFERROR(VLOOKUP($A142,'SKU主表'!$A:$M,2,0),"")</f>
        <v/>
      </c>
      <c r="C142" s="47">
        <f>IFERROR(VLOOKUP($A142,'SKU主表'!$A:$M,9,0),"")</f>
        <v/>
      </c>
      <c r="D142" s="52" t="n"/>
      <c r="E142" s="52" t="n"/>
      <c r="F142" s="48">
        <f>IF($A142="","",IF(OR($C142="禁售",$C142="需资质",$D142="是",$E142="是"),"是","否"))</f>
        <v/>
      </c>
      <c r="G142" s="53" t="n"/>
      <c r="H142" s="53" t="n"/>
      <c r="I142" s="53" t="n"/>
      <c r="J142" s="53" t="n"/>
      <c r="K142" s="53" t="n"/>
      <c r="L142" s="53" t="n"/>
      <c r="M142" s="53" t="n"/>
      <c r="N142" s="50">
        <f>IF($A142="","",IF($F142="是",0,SUMPRODUCT($G142:$M142,$G$3:$M$3)))</f>
        <v/>
      </c>
      <c r="O142" s="51">
        <f>IF(OR($A142="",$N142=""),"",RANK($N142,$N$5:$N$204,0))</f>
        <v/>
      </c>
      <c r="P142" s="37">
        <f>IF($A142="","",IF($F142="是","⛔淘汰(一票否决)",IF($O142&lt;='参数配置'!$B$12,"⭐优先上架Top N",IF($N142&gt;='参数配置'!$B$13,"观察跟进","暂缓/优化后再评"))))</f>
        <v/>
      </c>
    </row>
    <row r="143">
      <c r="A143" s="52" t="n"/>
      <c r="B143" s="46">
        <f>IFERROR(VLOOKUP($A143,'SKU主表'!$A:$M,2,0),"")</f>
        <v/>
      </c>
      <c r="C143" s="47">
        <f>IFERROR(VLOOKUP($A143,'SKU主表'!$A:$M,9,0),"")</f>
        <v/>
      </c>
      <c r="D143" s="52" t="n"/>
      <c r="E143" s="52" t="n"/>
      <c r="F143" s="48">
        <f>IF($A143="","",IF(OR($C143="禁售",$C143="需资质",$D143="是",$E143="是"),"是","否"))</f>
        <v/>
      </c>
      <c r="G143" s="53" t="n"/>
      <c r="H143" s="53" t="n"/>
      <c r="I143" s="53" t="n"/>
      <c r="J143" s="53" t="n"/>
      <c r="K143" s="53" t="n"/>
      <c r="L143" s="53" t="n"/>
      <c r="M143" s="53" t="n"/>
      <c r="N143" s="50">
        <f>IF($A143="","",IF($F143="是",0,SUMPRODUCT($G143:$M143,$G$3:$M$3)))</f>
        <v/>
      </c>
      <c r="O143" s="51">
        <f>IF(OR($A143="",$N143=""),"",RANK($N143,$N$5:$N$204,0))</f>
        <v/>
      </c>
      <c r="P143" s="37">
        <f>IF($A143="","",IF($F143="是","⛔淘汰(一票否决)",IF($O143&lt;='参数配置'!$B$12,"⭐优先上架Top N",IF($N143&gt;='参数配置'!$B$13,"观察跟进","暂缓/优化后再评"))))</f>
        <v/>
      </c>
    </row>
    <row r="144">
      <c r="A144" s="52" t="n"/>
      <c r="B144" s="46">
        <f>IFERROR(VLOOKUP($A144,'SKU主表'!$A:$M,2,0),"")</f>
        <v/>
      </c>
      <c r="C144" s="47">
        <f>IFERROR(VLOOKUP($A144,'SKU主表'!$A:$M,9,0),"")</f>
        <v/>
      </c>
      <c r="D144" s="52" t="n"/>
      <c r="E144" s="52" t="n"/>
      <c r="F144" s="48">
        <f>IF($A144="","",IF(OR($C144="禁售",$C144="需资质",$D144="是",$E144="是"),"是","否"))</f>
        <v/>
      </c>
      <c r="G144" s="53" t="n"/>
      <c r="H144" s="53" t="n"/>
      <c r="I144" s="53" t="n"/>
      <c r="J144" s="53" t="n"/>
      <c r="K144" s="53" t="n"/>
      <c r="L144" s="53" t="n"/>
      <c r="M144" s="53" t="n"/>
      <c r="N144" s="50">
        <f>IF($A144="","",IF($F144="是",0,SUMPRODUCT($G144:$M144,$G$3:$M$3)))</f>
        <v/>
      </c>
      <c r="O144" s="51">
        <f>IF(OR($A144="",$N144=""),"",RANK($N144,$N$5:$N$204,0))</f>
        <v/>
      </c>
      <c r="P144" s="37">
        <f>IF($A144="","",IF($F144="是","⛔淘汰(一票否决)",IF($O144&lt;='参数配置'!$B$12,"⭐优先上架Top N",IF($N144&gt;='参数配置'!$B$13,"观察跟进","暂缓/优化后再评"))))</f>
        <v/>
      </c>
    </row>
    <row r="145">
      <c r="A145" s="52" t="n"/>
      <c r="B145" s="46">
        <f>IFERROR(VLOOKUP($A145,'SKU主表'!$A:$M,2,0),"")</f>
        <v/>
      </c>
      <c r="C145" s="47">
        <f>IFERROR(VLOOKUP($A145,'SKU主表'!$A:$M,9,0),"")</f>
        <v/>
      </c>
      <c r="D145" s="52" t="n"/>
      <c r="E145" s="52" t="n"/>
      <c r="F145" s="48">
        <f>IF($A145="","",IF(OR($C145="禁售",$C145="需资质",$D145="是",$E145="是"),"是","否"))</f>
        <v/>
      </c>
      <c r="G145" s="53" t="n"/>
      <c r="H145" s="53" t="n"/>
      <c r="I145" s="53" t="n"/>
      <c r="J145" s="53" t="n"/>
      <c r="K145" s="53" t="n"/>
      <c r="L145" s="53" t="n"/>
      <c r="M145" s="53" t="n"/>
      <c r="N145" s="50">
        <f>IF($A145="","",IF($F145="是",0,SUMPRODUCT($G145:$M145,$G$3:$M$3)))</f>
        <v/>
      </c>
      <c r="O145" s="51">
        <f>IF(OR($A145="",$N145=""),"",RANK($N145,$N$5:$N$204,0))</f>
        <v/>
      </c>
      <c r="P145" s="37">
        <f>IF($A145="","",IF($F145="是","⛔淘汰(一票否决)",IF($O145&lt;='参数配置'!$B$12,"⭐优先上架Top N",IF($N145&gt;='参数配置'!$B$13,"观察跟进","暂缓/优化后再评"))))</f>
        <v/>
      </c>
    </row>
    <row r="146">
      <c r="A146" s="52" t="n"/>
      <c r="B146" s="46">
        <f>IFERROR(VLOOKUP($A146,'SKU主表'!$A:$M,2,0),"")</f>
        <v/>
      </c>
      <c r="C146" s="47">
        <f>IFERROR(VLOOKUP($A146,'SKU主表'!$A:$M,9,0),"")</f>
        <v/>
      </c>
      <c r="D146" s="52" t="n"/>
      <c r="E146" s="52" t="n"/>
      <c r="F146" s="48">
        <f>IF($A146="","",IF(OR($C146="禁售",$C146="需资质",$D146="是",$E146="是"),"是","否"))</f>
        <v/>
      </c>
      <c r="G146" s="53" t="n"/>
      <c r="H146" s="53" t="n"/>
      <c r="I146" s="53" t="n"/>
      <c r="J146" s="53" t="n"/>
      <c r="K146" s="53" t="n"/>
      <c r="L146" s="53" t="n"/>
      <c r="M146" s="53" t="n"/>
      <c r="N146" s="50">
        <f>IF($A146="","",IF($F146="是",0,SUMPRODUCT($G146:$M146,$G$3:$M$3)))</f>
        <v/>
      </c>
      <c r="O146" s="51">
        <f>IF(OR($A146="",$N146=""),"",RANK($N146,$N$5:$N$204,0))</f>
        <v/>
      </c>
      <c r="P146" s="37">
        <f>IF($A146="","",IF($F146="是","⛔淘汰(一票否决)",IF($O146&lt;='参数配置'!$B$12,"⭐优先上架Top N",IF($N146&gt;='参数配置'!$B$13,"观察跟进","暂缓/优化后再评"))))</f>
        <v/>
      </c>
    </row>
    <row r="147">
      <c r="A147" s="52" t="n"/>
      <c r="B147" s="46">
        <f>IFERROR(VLOOKUP($A147,'SKU主表'!$A:$M,2,0),"")</f>
        <v/>
      </c>
      <c r="C147" s="47">
        <f>IFERROR(VLOOKUP($A147,'SKU主表'!$A:$M,9,0),"")</f>
        <v/>
      </c>
      <c r="D147" s="52" t="n"/>
      <c r="E147" s="52" t="n"/>
      <c r="F147" s="48">
        <f>IF($A147="","",IF(OR($C147="禁售",$C147="需资质",$D147="是",$E147="是"),"是","否"))</f>
        <v/>
      </c>
      <c r="G147" s="53" t="n"/>
      <c r="H147" s="53" t="n"/>
      <c r="I147" s="53" t="n"/>
      <c r="J147" s="53" t="n"/>
      <c r="K147" s="53" t="n"/>
      <c r="L147" s="53" t="n"/>
      <c r="M147" s="53" t="n"/>
      <c r="N147" s="50">
        <f>IF($A147="","",IF($F147="是",0,SUMPRODUCT($G147:$M147,$G$3:$M$3)))</f>
        <v/>
      </c>
      <c r="O147" s="51">
        <f>IF(OR($A147="",$N147=""),"",RANK($N147,$N$5:$N$204,0))</f>
        <v/>
      </c>
      <c r="P147" s="37">
        <f>IF($A147="","",IF($F147="是","⛔淘汰(一票否决)",IF($O147&lt;='参数配置'!$B$12,"⭐优先上架Top N",IF($N147&gt;='参数配置'!$B$13,"观察跟进","暂缓/优化后再评"))))</f>
        <v/>
      </c>
    </row>
    <row r="148">
      <c r="A148" s="52" t="n"/>
      <c r="B148" s="46">
        <f>IFERROR(VLOOKUP($A148,'SKU主表'!$A:$M,2,0),"")</f>
        <v/>
      </c>
      <c r="C148" s="47">
        <f>IFERROR(VLOOKUP($A148,'SKU主表'!$A:$M,9,0),"")</f>
        <v/>
      </c>
      <c r="D148" s="52" t="n"/>
      <c r="E148" s="52" t="n"/>
      <c r="F148" s="48">
        <f>IF($A148="","",IF(OR($C148="禁售",$C148="需资质",$D148="是",$E148="是"),"是","否"))</f>
        <v/>
      </c>
      <c r="G148" s="53" t="n"/>
      <c r="H148" s="53" t="n"/>
      <c r="I148" s="53" t="n"/>
      <c r="J148" s="53" t="n"/>
      <c r="K148" s="53" t="n"/>
      <c r="L148" s="53" t="n"/>
      <c r="M148" s="53" t="n"/>
      <c r="N148" s="50">
        <f>IF($A148="","",IF($F148="是",0,SUMPRODUCT($G148:$M148,$G$3:$M$3)))</f>
        <v/>
      </c>
      <c r="O148" s="51">
        <f>IF(OR($A148="",$N148=""),"",RANK($N148,$N$5:$N$204,0))</f>
        <v/>
      </c>
      <c r="P148" s="37">
        <f>IF($A148="","",IF($F148="是","⛔淘汰(一票否决)",IF($O148&lt;='参数配置'!$B$12,"⭐优先上架Top N",IF($N148&gt;='参数配置'!$B$13,"观察跟进","暂缓/优化后再评"))))</f>
        <v/>
      </c>
    </row>
    <row r="149">
      <c r="A149" s="52" t="n"/>
      <c r="B149" s="46">
        <f>IFERROR(VLOOKUP($A149,'SKU主表'!$A:$M,2,0),"")</f>
        <v/>
      </c>
      <c r="C149" s="47">
        <f>IFERROR(VLOOKUP($A149,'SKU主表'!$A:$M,9,0),"")</f>
        <v/>
      </c>
      <c r="D149" s="52" t="n"/>
      <c r="E149" s="52" t="n"/>
      <c r="F149" s="48">
        <f>IF($A149="","",IF(OR($C149="禁售",$C149="需资质",$D149="是",$E149="是"),"是","否"))</f>
        <v/>
      </c>
      <c r="G149" s="53" t="n"/>
      <c r="H149" s="53" t="n"/>
      <c r="I149" s="53" t="n"/>
      <c r="J149" s="53" t="n"/>
      <c r="K149" s="53" t="n"/>
      <c r="L149" s="53" t="n"/>
      <c r="M149" s="53" t="n"/>
      <c r="N149" s="50">
        <f>IF($A149="","",IF($F149="是",0,SUMPRODUCT($G149:$M149,$G$3:$M$3)))</f>
        <v/>
      </c>
      <c r="O149" s="51">
        <f>IF(OR($A149="",$N149=""),"",RANK($N149,$N$5:$N$204,0))</f>
        <v/>
      </c>
      <c r="P149" s="37">
        <f>IF($A149="","",IF($F149="是","⛔淘汰(一票否决)",IF($O149&lt;='参数配置'!$B$12,"⭐优先上架Top N",IF($N149&gt;='参数配置'!$B$13,"观察跟进","暂缓/优化后再评"))))</f>
        <v/>
      </c>
    </row>
    <row r="150">
      <c r="A150" s="52" t="n"/>
      <c r="B150" s="46">
        <f>IFERROR(VLOOKUP($A150,'SKU主表'!$A:$M,2,0),"")</f>
        <v/>
      </c>
      <c r="C150" s="47">
        <f>IFERROR(VLOOKUP($A150,'SKU主表'!$A:$M,9,0),"")</f>
        <v/>
      </c>
      <c r="D150" s="52" t="n"/>
      <c r="E150" s="52" t="n"/>
      <c r="F150" s="48">
        <f>IF($A150="","",IF(OR($C150="禁售",$C150="需资质",$D150="是",$E150="是"),"是","否"))</f>
        <v/>
      </c>
      <c r="G150" s="53" t="n"/>
      <c r="H150" s="53" t="n"/>
      <c r="I150" s="53" t="n"/>
      <c r="J150" s="53" t="n"/>
      <c r="K150" s="53" t="n"/>
      <c r="L150" s="53" t="n"/>
      <c r="M150" s="53" t="n"/>
      <c r="N150" s="50">
        <f>IF($A150="","",IF($F150="是",0,SUMPRODUCT($G150:$M150,$G$3:$M$3)))</f>
        <v/>
      </c>
      <c r="O150" s="51">
        <f>IF(OR($A150="",$N150=""),"",RANK($N150,$N$5:$N$204,0))</f>
        <v/>
      </c>
      <c r="P150" s="37">
        <f>IF($A150="","",IF($F150="是","⛔淘汰(一票否决)",IF($O150&lt;='参数配置'!$B$12,"⭐优先上架Top N",IF($N150&gt;='参数配置'!$B$13,"观察跟进","暂缓/优化后再评"))))</f>
        <v/>
      </c>
    </row>
    <row r="151">
      <c r="A151" s="52" t="n"/>
      <c r="B151" s="46">
        <f>IFERROR(VLOOKUP($A151,'SKU主表'!$A:$M,2,0),"")</f>
        <v/>
      </c>
      <c r="C151" s="47">
        <f>IFERROR(VLOOKUP($A151,'SKU主表'!$A:$M,9,0),"")</f>
        <v/>
      </c>
      <c r="D151" s="52" t="n"/>
      <c r="E151" s="52" t="n"/>
      <c r="F151" s="48">
        <f>IF($A151="","",IF(OR($C151="禁售",$C151="需资质",$D151="是",$E151="是"),"是","否"))</f>
        <v/>
      </c>
      <c r="G151" s="53" t="n"/>
      <c r="H151" s="53" t="n"/>
      <c r="I151" s="53" t="n"/>
      <c r="J151" s="53" t="n"/>
      <c r="K151" s="53" t="n"/>
      <c r="L151" s="53" t="n"/>
      <c r="M151" s="53" t="n"/>
      <c r="N151" s="50">
        <f>IF($A151="","",IF($F151="是",0,SUMPRODUCT($G151:$M151,$G$3:$M$3)))</f>
        <v/>
      </c>
      <c r="O151" s="51">
        <f>IF(OR($A151="",$N151=""),"",RANK($N151,$N$5:$N$204,0))</f>
        <v/>
      </c>
      <c r="P151" s="37">
        <f>IF($A151="","",IF($F151="是","⛔淘汰(一票否决)",IF($O151&lt;='参数配置'!$B$12,"⭐优先上架Top N",IF($N151&gt;='参数配置'!$B$13,"观察跟进","暂缓/优化后再评"))))</f>
        <v/>
      </c>
    </row>
    <row r="152">
      <c r="A152" s="52" t="n"/>
      <c r="B152" s="46">
        <f>IFERROR(VLOOKUP($A152,'SKU主表'!$A:$M,2,0),"")</f>
        <v/>
      </c>
      <c r="C152" s="47">
        <f>IFERROR(VLOOKUP($A152,'SKU主表'!$A:$M,9,0),"")</f>
        <v/>
      </c>
      <c r="D152" s="52" t="n"/>
      <c r="E152" s="52" t="n"/>
      <c r="F152" s="48">
        <f>IF($A152="","",IF(OR($C152="禁售",$C152="需资质",$D152="是",$E152="是"),"是","否"))</f>
        <v/>
      </c>
      <c r="G152" s="53" t="n"/>
      <c r="H152" s="53" t="n"/>
      <c r="I152" s="53" t="n"/>
      <c r="J152" s="53" t="n"/>
      <c r="K152" s="53" t="n"/>
      <c r="L152" s="53" t="n"/>
      <c r="M152" s="53" t="n"/>
      <c r="N152" s="50">
        <f>IF($A152="","",IF($F152="是",0,SUMPRODUCT($G152:$M152,$G$3:$M$3)))</f>
        <v/>
      </c>
      <c r="O152" s="51">
        <f>IF(OR($A152="",$N152=""),"",RANK($N152,$N$5:$N$204,0))</f>
        <v/>
      </c>
      <c r="P152" s="37">
        <f>IF($A152="","",IF($F152="是","⛔淘汰(一票否决)",IF($O152&lt;='参数配置'!$B$12,"⭐优先上架Top N",IF($N152&gt;='参数配置'!$B$13,"观察跟进","暂缓/优化后再评"))))</f>
        <v/>
      </c>
    </row>
    <row r="153">
      <c r="A153" s="52" t="n"/>
      <c r="B153" s="46">
        <f>IFERROR(VLOOKUP($A153,'SKU主表'!$A:$M,2,0),"")</f>
        <v/>
      </c>
      <c r="C153" s="47">
        <f>IFERROR(VLOOKUP($A153,'SKU主表'!$A:$M,9,0),"")</f>
        <v/>
      </c>
      <c r="D153" s="52" t="n"/>
      <c r="E153" s="52" t="n"/>
      <c r="F153" s="48">
        <f>IF($A153="","",IF(OR($C153="禁售",$C153="需资质",$D153="是",$E153="是"),"是","否"))</f>
        <v/>
      </c>
      <c r="G153" s="53" t="n"/>
      <c r="H153" s="53" t="n"/>
      <c r="I153" s="53" t="n"/>
      <c r="J153" s="53" t="n"/>
      <c r="K153" s="53" t="n"/>
      <c r="L153" s="53" t="n"/>
      <c r="M153" s="53" t="n"/>
      <c r="N153" s="50">
        <f>IF($A153="","",IF($F153="是",0,SUMPRODUCT($G153:$M153,$G$3:$M$3)))</f>
        <v/>
      </c>
      <c r="O153" s="51">
        <f>IF(OR($A153="",$N153=""),"",RANK($N153,$N$5:$N$204,0))</f>
        <v/>
      </c>
      <c r="P153" s="37">
        <f>IF($A153="","",IF($F153="是","⛔淘汰(一票否决)",IF($O153&lt;='参数配置'!$B$12,"⭐优先上架Top N",IF($N153&gt;='参数配置'!$B$13,"观察跟进","暂缓/优化后再评"))))</f>
        <v/>
      </c>
    </row>
    <row r="154">
      <c r="A154" s="52" t="n"/>
      <c r="B154" s="46">
        <f>IFERROR(VLOOKUP($A154,'SKU主表'!$A:$M,2,0),"")</f>
        <v/>
      </c>
      <c r="C154" s="47">
        <f>IFERROR(VLOOKUP($A154,'SKU主表'!$A:$M,9,0),"")</f>
        <v/>
      </c>
      <c r="D154" s="52" t="n"/>
      <c r="E154" s="52" t="n"/>
      <c r="F154" s="48">
        <f>IF($A154="","",IF(OR($C154="禁售",$C154="需资质",$D154="是",$E154="是"),"是","否"))</f>
        <v/>
      </c>
      <c r="G154" s="53" t="n"/>
      <c r="H154" s="53" t="n"/>
      <c r="I154" s="53" t="n"/>
      <c r="J154" s="53" t="n"/>
      <c r="K154" s="53" t="n"/>
      <c r="L154" s="53" t="n"/>
      <c r="M154" s="53" t="n"/>
      <c r="N154" s="50">
        <f>IF($A154="","",IF($F154="是",0,SUMPRODUCT($G154:$M154,$G$3:$M$3)))</f>
        <v/>
      </c>
      <c r="O154" s="51">
        <f>IF(OR($A154="",$N154=""),"",RANK($N154,$N$5:$N$204,0))</f>
        <v/>
      </c>
      <c r="P154" s="37">
        <f>IF($A154="","",IF($F154="是","⛔淘汰(一票否决)",IF($O154&lt;='参数配置'!$B$12,"⭐优先上架Top N",IF($N154&gt;='参数配置'!$B$13,"观察跟进","暂缓/优化后再评"))))</f>
        <v/>
      </c>
    </row>
    <row r="155">
      <c r="A155" s="52" t="n"/>
      <c r="B155" s="46">
        <f>IFERROR(VLOOKUP($A155,'SKU主表'!$A:$M,2,0),"")</f>
        <v/>
      </c>
      <c r="C155" s="47">
        <f>IFERROR(VLOOKUP($A155,'SKU主表'!$A:$M,9,0),"")</f>
        <v/>
      </c>
      <c r="D155" s="52" t="n"/>
      <c r="E155" s="52" t="n"/>
      <c r="F155" s="48">
        <f>IF($A155="","",IF(OR($C155="禁售",$C155="需资质",$D155="是",$E155="是"),"是","否"))</f>
        <v/>
      </c>
      <c r="G155" s="53" t="n"/>
      <c r="H155" s="53" t="n"/>
      <c r="I155" s="53" t="n"/>
      <c r="J155" s="53" t="n"/>
      <c r="K155" s="53" t="n"/>
      <c r="L155" s="53" t="n"/>
      <c r="M155" s="53" t="n"/>
      <c r="N155" s="50">
        <f>IF($A155="","",IF($F155="是",0,SUMPRODUCT($G155:$M155,$G$3:$M$3)))</f>
        <v/>
      </c>
      <c r="O155" s="51">
        <f>IF(OR($A155="",$N155=""),"",RANK($N155,$N$5:$N$204,0))</f>
        <v/>
      </c>
      <c r="P155" s="37">
        <f>IF($A155="","",IF($F155="是","⛔淘汰(一票否决)",IF($O155&lt;='参数配置'!$B$12,"⭐优先上架Top N",IF($N155&gt;='参数配置'!$B$13,"观察跟进","暂缓/优化后再评"))))</f>
        <v/>
      </c>
    </row>
    <row r="156">
      <c r="A156" s="52" t="n"/>
      <c r="B156" s="46">
        <f>IFERROR(VLOOKUP($A156,'SKU主表'!$A:$M,2,0),"")</f>
        <v/>
      </c>
      <c r="C156" s="47">
        <f>IFERROR(VLOOKUP($A156,'SKU主表'!$A:$M,9,0),"")</f>
        <v/>
      </c>
      <c r="D156" s="52" t="n"/>
      <c r="E156" s="52" t="n"/>
      <c r="F156" s="48">
        <f>IF($A156="","",IF(OR($C156="禁售",$C156="需资质",$D156="是",$E156="是"),"是","否"))</f>
        <v/>
      </c>
      <c r="G156" s="53" t="n"/>
      <c r="H156" s="53" t="n"/>
      <c r="I156" s="53" t="n"/>
      <c r="J156" s="53" t="n"/>
      <c r="K156" s="53" t="n"/>
      <c r="L156" s="53" t="n"/>
      <c r="M156" s="53" t="n"/>
      <c r="N156" s="50">
        <f>IF($A156="","",IF($F156="是",0,SUMPRODUCT($G156:$M156,$G$3:$M$3)))</f>
        <v/>
      </c>
      <c r="O156" s="51">
        <f>IF(OR($A156="",$N156=""),"",RANK($N156,$N$5:$N$204,0))</f>
        <v/>
      </c>
      <c r="P156" s="37">
        <f>IF($A156="","",IF($F156="是","⛔淘汰(一票否决)",IF($O156&lt;='参数配置'!$B$12,"⭐优先上架Top N",IF($N156&gt;='参数配置'!$B$13,"观察跟进","暂缓/优化后再评"))))</f>
        <v/>
      </c>
    </row>
    <row r="157">
      <c r="A157" s="52" t="n"/>
      <c r="B157" s="46">
        <f>IFERROR(VLOOKUP($A157,'SKU主表'!$A:$M,2,0),"")</f>
        <v/>
      </c>
      <c r="C157" s="47">
        <f>IFERROR(VLOOKUP($A157,'SKU主表'!$A:$M,9,0),"")</f>
        <v/>
      </c>
      <c r="D157" s="52" t="n"/>
      <c r="E157" s="52" t="n"/>
      <c r="F157" s="48">
        <f>IF($A157="","",IF(OR($C157="禁售",$C157="需资质",$D157="是",$E157="是"),"是","否"))</f>
        <v/>
      </c>
      <c r="G157" s="53" t="n"/>
      <c r="H157" s="53" t="n"/>
      <c r="I157" s="53" t="n"/>
      <c r="J157" s="53" t="n"/>
      <c r="K157" s="53" t="n"/>
      <c r="L157" s="53" t="n"/>
      <c r="M157" s="53" t="n"/>
      <c r="N157" s="50">
        <f>IF($A157="","",IF($F157="是",0,SUMPRODUCT($G157:$M157,$G$3:$M$3)))</f>
        <v/>
      </c>
      <c r="O157" s="51">
        <f>IF(OR($A157="",$N157=""),"",RANK($N157,$N$5:$N$204,0))</f>
        <v/>
      </c>
      <c r="P157" s="37">
        <f>IF($A157="","",IF($F157="是","⛔淘汰(一票否决)",IF($O157&lt;='参数配置'!$B$12,"⭐优先上架Top N",IF($N157&gt;='参数配置'!$B$13,"观察跟进","暂缓/优化后再评"))))</f>
        <v/>
      </c>
    </row>
    <row r="158">
      <c r="A158" s="52" t="n"/>
      <c r="B158" s="46">
        <f>IFERROR(VLOOKUP($A158,'SKU主表'!$A:$M,2,0),"")</f>
        <v/>
      </c>
      <c r="C158" s="47">
        <f>IFERROR(VLOOKUP($A158,'SKU主表'!$A:$M,9,0),"")</f>
        <v/>
      </c>
      <c r="D158" s="52" t="n"/>
      <c r="E158" s="52" t="n"/>
      <c r="F158" s="48">
        <f>IF($A158="","",IF(OR($C158="禁售",$C158="需资质",$D158="是",$E158="是"),"是","否"))</f>
        <v/>
      </c>
      <c r="G158" s="53" t="n"/>
      <c r="H158" s="53" t="n"/>
      <c r="I158" s="53" t="n"/>
      <c r="J158" s="53" t="n"/>
      <c r="K158" s="53" t="n"/>
      <c r="L158" s="53" t="n"/>
      <c r="M158" s="53" t="n"/>
      <c r="N158" s="50">
        <f>IF($A158="","",IF($F158="是",0,SUMPRODUCT($G158:$M158,$G$3:$M$3)))</f>
        <v/>
      </c>
      <c r="O158" s="51">
        <f>IF(OR($A158="",$N158=""),"",RANK($N158,$N$5:$N$204,0))</f>
        <v/>
      </c>
      <c r="P158" s="37">
        <f>IF($A158="","",IF($F158="是","⛔淘汰(一票否决)",IF($O158&lt;='参数配置'!$B$12,"⭐优先上架Top N",IF($N158&gt;='参数配置'!$B$13,"观察跟进","暂缓/优化后再评"))))</f>
        <v/>
      </c>
    </row>
    <row r="159">
      <c r="A159" s="52" t="n"/>
      <c r="B159" s="46">
        <f>IFERROR(VLOOKUP($A159,'SKU主表'!$A:$M,2,0),"")</f>
        <v/>
      </c>
      <c r="C159" s="47">
        <f>IFERROR(VLOOKUP($A159,'SKU主表'!$A:$M,9,0),"")</f>
        <v/>
      </c>
      <c r="D159" s="52" t="n"/>
      <c r="E159" s="52" t="n"/>
      <c r="F159" s="48">
        <f>IF($A159="","",IF(OR($C159="禁售",$C159="需资质",$D159="是",$E159="是"),"是","否"))</f>
        <v/>
      </c>
      <c r="G159" s="53" t="n"/>
      <c r="H159" s="53" t="n"/>
      <c r="I159" s="53" t="n"/>
      <c r="J159" s="53" t="n"/>
      <c r="K159" s="53" t="n"/>
      <c r="L159" s="53" t="n"/>
      <c r="M159" s="53" t="n"/>
      <c r="N159" s="50">
        <f>IF($A159="","",IF($F159="是",0,SUMPRODUCT($G159:$M159,$G$3:$M$3)))</f>
        <v/>
      </c>
      <c r="O159" s="51">
        <f>IF(OR($A159="",$N159=""),"",RANK($N159,$N$5:$N$204,0))</f>
        <v/>
      </c>
      <c r="P159" s="37">
        <f>IF($A159="","",IF($F159="是","⛔淘汰(一票否决)",IF($O159&lt;='参数配置'!$B$12,"⭐优先上架Top N",IF($N159&gt;='参数配置'!$B$13,"观察跟进","暂缓/优化后再评"))))</f>
        <v/>
      </c>
    </row>
    <row r="160">
      <c r="A160" s="52" t="n"/>
      <c r="B160" s="46">
        <f>IFERROR(VLOOKUP($A160,'SKU主表'!$A:$M,2,0),"")</f>
        <v/>
      </c>
      <c r="C160" s="47">
        <f>IFERROR(VLOOKUP($A160,'SKU主表'!$A:$M,9,0),"")</f>
        <v/>
      </c>
      <c r="D160" s="52" t="n"/>
      <c r="E160" s="52" t="n"/>
      <c r="F160" s="48">
        <f>IF($A160="","",IF(OR($C160="禁售",$C160="需资质",$D160="是",$E160="是"),"是","否"))</f>
        <v/>
      </c>
      <c r="G160" s="53" t="n"/>
      <c r="H160" s="53" t="n"/>
      <c r="I160" s="53" t="n"/>
      <c r="J160" s="53" t="n"/>
      <c r="K160" s="53" t="n"/>
      <c r="L160" s="53" t="n"/>
      <c r="M160" s="53" t="n"/>
      <c r="N160" s="50">
        <f>IF($A160="","",IF($F160="是",0,SUMPRODUCT($G160:$M160,$G$3:$M$3)))</f>
        <v/>
      </c>
      <c r="O160" s="51">
        <f>IF(OR($A160="",$N160=""),"",RANK($N160,$N$5:$N$204,0))</f>
        <v/>
      </c>
      <c r="P160" s="37">
        <f>IF($A160="","",IF($F160="是","⛔淘汰(一票否决)",IF($O160&lt;='参数配置'!$B$12,"⭐优先上架Top N",IF($N160&gt;='参数配置'!$B$13,"观察跟进","暂缓/优化后再评"))))</f>
        <v/>
      </c>
    </row>
    <row r="161">
      <c r="A161" s="52" t="n"/>
      <c r="B161" s="46">
        <f>IFERROR(VLOOKUP($A161,'SKU主表'!$A:$M,2,0),"")</f>
        <v/>
      </c>
      <c r="C161" s="47">
        <f>IFERROR(VLOOKUP($A161,'SKU主表'!$A:$M,9,0),"")</f>
        <v/>
      </c>
      <c r="D161" s="52" t="n"/>
      <c r="E161" s="52" t="n"/>
      <c r="F161" s="48">
        <f>IF($A161="","",IF(OR($C161="禁售",$C161="需资质",$D161="是",$E161="是"),"是","否"))</f>
        <v/>
      </c>
      <c r="G161" s="53" t="n"/>
      <c r="H161" s="53" t="n"/>
      <c r="I161" s="53" t="n"/>
      <c r="J161" s="53" t="n"/>
      <c r="K161" s="53" t="n"/>
      <c r="L161" s="53" t="n"/>
      <c r="M161" s="53" t="n"/>
      <c r="N161" s="50">
        <f>IF($A161="","",IF($F161="是",0,SUMPRODUCT($G161:$M161,$G$3:$M$3)))</f>
        <v/>
      </c>
      <c r="O161" s="51">
        <f>IF(OR($A161="",$N161=""),"",RANK($N161,$N$5:$N$204,0))</f>
        <v/>
      </c>
      <c r="P161" s="37">
        <f>IF($A161="","",IF($F161="是","⛔淘汰(一票否决)",IF($O161&lt;='参数配置'!$B$12,"⭐优先上架Top N",IF($N161&gt;='参数配置'!$B$13,"观察跟进","暂缓/优化后再评"))))</f>
        <v/>
      </c>
    </row>
    <row r="162">
      <c r="A162" s="52" t="n"/>
      <c r="B162" s="46">
        <f>IFERROR(VLOOKUP($A162,'SKU主表'!$A:$M,2,0),"")</f>
        <v/>
      </c>
      <c r="C162" s="47">
        <f>IFERROR(VLOOKUP($A162,'SKU主表'!$A:$M,9,0),"")</f>
        <v/>
      </c>
      <c r="D162" s="52" t="n"/>
      <c r="E162" s="52" t="n"/>
      <c r="F162" s="48">
        <f>IF($A162="","",IF(OR($C162="禁售",$C162="需资质",$D162="是",$E162="是"),"是","否"))</f>
        <v/>
      </c>
      <c r="G162" s="53" t="n"/>
      <c r="H162" s="53" t="n"/>
      <c r="I162" s="53" t="n"/>
      <c r="J162" s="53" t="n"/>
      <c r="K162" s="53" t="n"/>
      <c r="L162" s="53" t="n"/>
      <c r="M162" s="53" t="n"/>
      <c r="N162" s="50">
        <f>IF($A162="","",IF($F162="是",0,SUMPRODUCT($G162:$M162,$G$3:$M$3)))</f>
        <v/>
      </c>
      <c r="O162" s="51">
        <f>IF(OR($A162="",$N162=""),"",RANK($N162,$N$5:$N$204,0))</f>
        <v/>
      </c>
      <c r="P162" s="37">
        <f>IF($A162="","",IF($F162="是","⛔淘汰(一票否决)",IF($O162&lt;='参数配置'!$B$12,"⭐优先上架Top N",IF($N162&gt;='参数配置'!$B$13,"观察跟进","暂缓/优化后再评"))))</f>
        <v/>
      </c>
    </row>
    <row r="163">
      <c r="A163" s="52" t="n"/>
      <c r="B163" s="46">
        <f>IFERROR(VLOOKUP($A163,'SKU主表'!$A:$M,2,0),"")</f>
        <v/>
      </c>
      <c r="C163" s="47">
        <f>IFERROR(VLOOKUP($A163,'SKU主表'!$A:$M,9,0),"")</f>
        <v/>
      </c>
      <c r="D163" s="52" t="n"/>
      <c r="E163" s="52" t="n"/>
      <c r="F163" s="48">
        <f>IF($A163="","",IF(OR($C163="禁售",$C163="需资质",$D163="是",$E163="是"),"是","否"))</f>
        <v/>
      </c>
      <c r="G163" s="53" t="n"/>
      <c r="H163" s="53" t="n"/>
      <c r="I163" s="53" t="n"/>
      <c r="J163" s="53" t="n"/>
      <c r="K163" s="53" t="n"/>
      <c r="L163" s="53" t="n"/>
      <c r="M163" s="53" t="n"/>
      <c r="N163" s="50">
        <f>IF($A163="","",IF($F163="是",0,SUMPRODUCT($G163:$M163,$G$3:$M$3)))</f>
        <v/>
      </c>
      <c r="O163" s="51">
        <f>IF(OR($A163="",$N163=""),"",RANK($N163,$N$5:$N$204,0))</f>
        <v/>
      </c>
      <c r="P163" s="37">
        <f>IF($A163="","",IF($F163="是","⛔淘汰(一票否决)",IF($O163&lt;='参数配置'!$B$12,"⭐优先上架Top N",IF($N163&gt;='参数配置'!$B$13,"观察跟进","暂缓/优化后再评"))))</f>
        <v/>
      </c>
    </row>
    <row r="164">
      <c r="A164" s="52" t="n"/>
      <c r="B164" s="46">
        <f>IFERROR(VLOOKUP($A164,'SKU主表'!$A:$M,2,0),"")</f>
        <v/>
      </c>
      <c r="C164" s="47">
        <f>IFERROR(VLOOKUP($A164,'SKU主表'!$A:$M,9,0),"")</f>
        <v/>
      </c>
      <c r="D164" s="52" t="n"/>
      <c r="E164" s="52" t="n"/>
      <c r="F164" s="48">
        <f>IF($A164="","",IF(OR($C164="禁售",$C164="需资质",$D164="是",$E164="是"),"是","否"))</f>
        <v/>
      </c>
      <c r="G164" s="53" t="n"/>
      <c r="H164" s="53" t="n"/>
      <c r="I164" s="53" t="n"/>
      <c r="J164" s="53" t="n"/>
      <c r="K164" s="53" t="n"/>
      <c r="L164" s="53" t="n"/>
      <c r="M164" s="53" t="n"/>
      <c r="N164" s="50">
        <f>IF($A164="","",IF($F164="是",0,SUMPRODUCT($G164:$M164,$G$3:$M$3)))</f>
        <v/>
      </c>
      <c r="O164" s="51">
        <f>IF(OR($A164="",$N164=""),"",RANK($N164,$N$5:$N$204,0))</f>
        <v/>
      </c>
      <c r="P164" s="37">
        <f>IF($A164="","",IF($F164="是","⛔淘汰(一票否决)",IF($O164&lt;='参数配置'!$B$12,"⭐优先上架Top N",IF($N164&gt;='参数配置'!$B$13,"观察跟进","暂缓/优化后再评"))))</f>
        <v/>
      </c>
    </row>
    <row r="165">
      <c r="A165" s="52" t="n"/>
      <c r="B165" s="46">
        <f>IFERROR(VLOOKUP($A165,'SKU主表'!$A:$M,2,0),"")</f>
        <v/>
      </c>
      <c r="C165" s="47">
        <f>IFERROR(VLOOKUP($A165,'SKU主表'!$A:$M,9,0),"")</f>
        <v/>
      </c>
      <c r="D165" s="52" t="n"/>
      <c r="E165" s="52" t="n"/>
      <c r="F165" s="48">
        <f>IF($A165="","",IF(OR($C165="禁售",$C165="需资质",$D165="是",$E165="是"),"是","否"))</f>
        <v/>
      </c>
      <c r="G165" s="53" t="n"/>
      <c r="H165" s="53" t="n"/>
      <c r="I165" s="53" t="n"/>
      <c r="J165" s="53" t="n"/>
      <c r="K165" s="53" t="n"/>
      <c r="L165" s="53" t="n"/>
      <c r="M165" s="53" t="n"/>
      <c r="N165" s="50">
        <f>IF($A165="","",IF($F165="是",0,SUMPRODUCT($G165:$M165,$G$3:$M$3)))</f>
        <v/>
      </c>
      <c r="O165" s="51">
        <f>IF(OR($A165="",$N165=""),"",RANK($N165,$N$5:$N$204,0))</f>
        <v/>
      </c>
      <c r="P165" s="37">
        <f>IF($A165="","",IF($F165="是","⛔淘汰(一票否决)",IF($O165&lt;='参数配置'!$B$12,"⭐优先上架Top N",IF($N165&gt;='参数配置'!$B$13,"观察跟进","暂缓/优化后再评"))))</f>
        <v/>
      </c>
    </row>
    <row r="166">
      <c r="A166" s="52" t="n"/>
      <c r="B166" s="46">
        <f>IFERROR(VLOOKUP($A166,'SKU主表'!$A:$M,2,0),"")</f>
        <v/>
      </c>
      <c r="C166" s="47">
        <f>IFERROR(VLOOKUP($A166,'SKU主表'!$A:$M,9,0),"")</f>
        <v/>
      </c>
      <c r="D166" s="52" t="n"/>
      <c r="E166" s="52" t="n"/>
      <c r="F166" s="48">
        <f>IF($A166="","",IF(OR($C166="禁售",$C166="需资质",$D166="是",$E166="是"),"是","否"))</f>
        <v/>
      </c>
      <c r="G166" s="53" t="n"/>
      <c r="H166" s="53" t="n"/>
      <c r="I166" s="53" t="n"/>
      <c r="J166" s="53" t="n"/>
      <c r="K166" s="53" t="n"/>
      <c r="L166" s="53" t="n"/>
      <c r="M166" s="53" t="n"/>
      <c r="N166" s="50">
        <f>IF($A166="","",IF($F166="是",0,SUMPRODUCT($G166:$M166,$G$3:$M$3)))</f>
        <v/>
      </c>
      <c r="O166" s="51">
        <f>IF(OR($A166="",$N166=""),"",RANK($N166,$N$5:$N$204,0))</f>
        <v/>
      </c>
      <c r="P166" s="37">
        <f>IF($A166="","",IF($F166="是","⛔淘汰(一票否决)",IF($O166&lt;='参数配置'!$B$12,"⭐优先上架Top N",IF($N166&gt;='参数配置'!$B$13,"观察跟进","暂缓/优化后再评"))))</f>
        <v/>
      </c>
    </row>
    <row r="167">
      <c r="A167" s="52" t="n"/>
      <c r="B167" s="46">
        <f>IFERROR(VLOOKUP($A167,'SKU主表'!$A:$M,2,0),"")</f>
        <v/>
      </c>
      <c r="C167" s="47">
        <f>IFERROR(VLOOKUP($A167,'SKU主表'!$A:$M,9,0),"")</f>
        <v/>
      </c>
      <c r="D167" s="52" t="n"/>
      <c r="E167" s="52" t="n"/>
      <c r="F167" s="48">
        <f>IF($A167="","",IF(OR($C167="禁售",$C167="需资质",$D167="是",$E167="是"),"是","否"))</f>
        <v/>
      </c>
      <c r="G167" s="53" t="n"/>
      <c r="H167" s="53" t="n"/>
      <c r="I167" s="53" t="n"/>
      <c r="J167" s="53" t="n"/>
      <c r="K167" s="53" t="n"/>
      <c r="L167" s="53" t="n"/>
      <c r="M167" s="53" t="n"/>
      <c r="N167" s="50">
        <f>IF($A167="","",IF($F167="是",0,SUMPRODUCT($G167:$M167,$G$3:$M$3)))</f>
        <v/>
      </c>
      <c r="O167" s="51">
        <f>IF(OR($A167="",$N167=""),"",RANK($N167,$N$5:$N$204,0))</f>
        <v/>
      </c>
      <c r="P167" s="37">
        <f>IF($A167="","",IF($F167="是","⛔淘汰(一票否决)",IF($O167&lt;='参数配置'!$B$12,"⭐优先上架Top N",IF($N167&gt;='参数配置'!$B$13,"观察跟进","暂缓/优化后再评"))))</f>
        <v/>
      </c>
    </row>
    <row r="168">
      <c r="A168" s="52" t="n"/>
      <c r="B168" s="46">
        <f>IFERROR(VLOOKUP($A168,'SKU主表'!$A:$M,2,0),"")</f>
        <v/>
      </c>
      <c r="C168" s="47">
        <f>IFERROR(VLOOKUP($A168,'SKU主表'!$A:$M,9,0),"")</f>
        <v/>
      </c>
      <c r="D168" s="52" t="n"/>
      <c r="E168" s="52" t="n"/>
      <c r="F168" s="48">
        <f>IF($A168="","",IF(OR($C168="禁售",$C168="需资质",$D168="是",$E168="是"),"是","否"))</f>
        <v/>
      </c>
      <c r="G168" s="53" t="n"/>
      <c r="H168" s="53" t="n"/>
      <c r="I168" s="53" t="n"/>
      <c r="J168" s="53" t="n"/>
      <c r="K168" s="53" t="n"/>
      <c r="L168" s="53" t="n"/>
      <c r="M168" s="53" t="n"/>
      <c r="N168" s="50">
        <f>IF($A168="","",IF($F168="是",0,SUMPRODUCT($G168:$M168,$G$3:$M$3)))</f>
        <v/>
      </c>
      <c r="O168" s="51">
        <f>IF(OR($A168="",$N168=""),"",RANK($N168,$N$5:$N$204,0))</f>
        <v/>
      </c>
      <c r="P168" s="37">
        <f>IF($A168="","",IF($F168="是","⛔淘汰(一票否决)",IF($O168&lt;='参数配置'!$B$12,"⭐优先上架Top N",IF($N168&gt;='参数配置'!$B$13,"观察跟进","暂缓/优化后再评"))))</f>
        <v/>
      </c>
    </row>
    <row r="169">
      <c r="A169" s="52" t="n"/>
      <c r="B169" s="46">
        <f>IFERROR(VLOOKUP($A169,'SKU主表'!$A:$M,2,0),"")</f>
        <v/>
      </c>
      <c r="C169" s="47">
        <f>IFERROR(VLOOKUP($A169,'SKU主表'!$A:$M,9,0),"")</f>
        <v/>
      </c>
      <c r="D169" s="52" t="n"/>
      <c r="E169" s="52" t="n"/>
      <c r="F169" s="48">
        <f>IF($A169="","",IF(OR($C169="禁售",$C169="需资质",$D169="是",$E169="是"),"是","否"))</f>
        <v/>
      </c>
      <c r="G169" s="53" t="n"/>
      <c r="H169" s="53" t="n"/>
      <c r="I169" s="53" t="n"/>
      <c r="J169" s="53" t="n"/>
      <c r="K169" s="53" t="n"/>
      <c r="L169" s="53" t="n"/>
      <c r="M169" s="53" t="n"/>
      <c r="N169" s="50">
        <f>IF($A169="","",IF($F169="是",0,SUMPRODUCT($G169:$M169,$G$3:$M$3)))</f>
        <v/>
      </c>
      <c r="O169" s="51">
        <f>IF(OR($A169="",$N169=""),"",RANK($N169,$N$5:$N$204,0))</f>
        <v/>
      </c>
      <c r="P169" s="37">
        <f>IF($A169="","",IF($F169="是","⛔淘汰(一票否决)",IF($O169&lt;='参数配置'!$B$12,"⭐优先上架Top N",IF($N169&gt;='参数配置'!$B$13,"观察跟进","暂缓/优化后再评"))))</f>
        <v/>
      </c>
    </row>
    <row r="170">
      <c r="A170" s="52" t="n"/>
      <c r="B170" s="46">
        <f>IFERROR(VLOOKUP($A170,'SKU主表'!$A:$M,2,0),"")</f>
        <v/>
      </c>
      <c r="C170" s="47">
        <f>IFERROR(VLOOKUP($A170,'SKU主表'!$A:$M,9,0),"")</f>
        <v/>
      </c>
      <c r="D170" s="52" t="n"/>
      <c r="E170" s="52" t="n"/>
      <c r="F170" s="48">
        <f>IF($A170="","",IF(OR($C170="禁售",$C170="需资质",$D170="是",$E170="是"),"是","否"))</f>
        <v/>
      </c>
      <c r="G170" s="53" t="n"/>
      <c r="H170" s="53" t="n"/>
      <c r="I170" s="53" t="n"/>
      <c r="J170" s="53" t="n"/>
      <c r="K170" s="53" t="n"/>
      <c r="L170" s="53" t="n"/>
      <c r="M170" s="53" t="n"/>
      <c r="N170" s="50">
        <f>IF($A170="","",IF($F170="是",0,SUMPRODUCT($G170:$M170,$G$3:$M$3)))</f>
        <v/>
      </c>
      <c r="O170" s="51">
        <f>IF(OR($A170="",$N170=""),"",RANK($N170,$N$5:$N$204,0))</f>
        <v/>
      </c>
      <c r="P170" s="37">
        <f>IF($A170="","",IF($F170="是","⛔淘汰(一票否决)",IF($O170&lt;='参数配置'!$B$12,"⭐优先上架Top N",IF($N170&gt;='参数配置'!$B$13,"观察跟进","暂缓/优化后再评"))))</f>
        <v/>
      </c>
    </row>
    <row r="171">
      <c r="A171" s="52" t="n"/>
      <c r="B171" s="46">
        <f>IFERROR(VLOOKUP($A171,'SKU主表'!$A:$M,2,0),"")</f>
        <v/>
      </c>
      <c r="C171" s="47">
        <f>IFERROR(VLOOKUP($A171,'SKU主表'!$A:$M,9,0),"")</f>
        <v/>
      </c>
      <c r="D171" s="52" t="n"/>
      <c r="E171" s="52" t="n"/>
      <c r="F171" s="48">
        <f>IF($A171="","",IF(OR($C171="禁售",$C171="需资质",$D171="是",$E171="是"),"是","否"))</f>
        <v/>
      </c>
      <c r="G171" s="53" t="n"/>
      <c r="H171" s="53" t="n"/>
      <c r="I171" s="53" t="n"/>
      <c r="J171" s="53" t="n"/>
      <c r="K171" s="53" t="n"/>
      <c r="L171" s="53" t="n"/>
      <c r="M171" s="53" t="n"/>
      <c r="N171" s="50">
        <f>IF($A171="","",IF($F171="是",0,SUMPRODUCT($G171:$M171,$G$3:$M$3)))</f>
        <v/>
      </c>
      <c r="O171" s="51">
        <f>IF(OR($A171="",$N171=""),"",RANK($N171,$N$5:$N$204,0))</f>
        <v/>
      </c>
      <c r="P171" s="37">
        <f>IF($A171="","",IF($F171="是","⛔淘汰(一票否决)",IF($O171&lt;='参数配置'!$B$12,"⭐优先上架Top N",IF($N171&gt;='参数配置'!$B$13,"观察跟进","暂缓/优化后再评"))))</f>
        <v/>
      </c>
    </row>
    <row r="172">
      <c r="A172" s="52" t="n"/>
      <c r="B172" s="46">
        <f>IFERROR(VLOOKUP($A172,'SKU主表'!$A:$M,2,0),"")</f>
        <v/>
      </c>
      <c r="C172" s="47">
        <f>IFERROR(VLOOKUP($A172,'SKU主表'!$A:$M,9,0),"")</f>
        <v/>
      </c>
      <c r="D172" s="52" t="n"/>
      <c r="E172" s="52" t="n"/>
      <c r="F172" s="48">
        <f>IF($A172="","",IF(OR($C172="禁售",$C172="需资质",$D172="是",$E172="是"),"是","否"))</f>
        <v/>
      </c>
      <c r="G172" s="53" t="n"/>
      <c r="H172" s="53" t="n"/>
      <c r="I172" s="53" t="n"/>
      <c r="J172" s="53" t="n"/>
      <c r="K172" s="53" t="n"/>
      <c r="L172" s="53" t="n"/>
      <c r="M172" s="53" t="n"/>
      <c r="N172" s="50">
        <f>IF($A172="","",IF($F172="是",0,SUMPRODUCT($G172:$M172,$G$3:$M$3)))</f>
        <v/>
      </c>
      <c r="O172" s="51">
        <f>IF(OR($A172="",$N172=""),"",RANK($N172,$N$5:$N$204,0))</f>
        <v/>
      </c>
      <c r="P172" s="37">
        <f>IF($A172="","",IF($F172="是","⛔淘汰(一票否决)",IF($O172&lt;='参数配置'!$B$12,"⭐优先上架Top N",IF($N172&gt;='参数配置'!$B$13,"观察跟进","暂缓/优化后再评"))))</f>
        <v/>
      </c>
    </row>
    <row r="173">
      <c r="A173" s="52" t="n"/>
      <c r="B173" s="46">
        <f>IFERROR(VLOOKUP($A173,'SKU主表'!$A:$M,2,0),"")</f>
        <v/>
      </c>
      <c r="C173" s="47">
        <f>IFERROR(VLOOKUP($A173,'SKU主表'!$A:$M,9,0),"")</f>
        <v/>
      </c>
      <c r="D173" s="52" t="n"/>
      <c r="E173" s="52" t="n"/>
      <c r="F173" s="48">
        <f>IF($A173="","",IF(OR($C173="禁售",$C173="需资质",$D173="是",$E173="是"),"是","否"))</f>
        <v/>
      </c>
      <c r="G173" s="53" t="n"/>
      <c r="H173" s="53" t="n"/>
      <c r="I173" s="53" t="n"/>
      <c r="J173" s="53" t="n"/>
      <c r="K173" s="53" t="n"/>
      <c r="L173" s="53" t="n"/>
      <c r="M173" s="53" t="n"/>
      <c r="N173" s="50">
        <f>IF($A173="","",IF($F173="是",0,SUMPRODUCT($G173:$M173,$G$3:$M$3)))</f>
        <v/>
      </c>
      <c r="O173" s="51">
        <f>IF(OR($A173="",$N173=""),"",RANK($N173,$N$5:$N$204,0))</f>
        <v/>
      </c>
      <c r="P173" s="37">
        <f>IF($A173="","",IF($F173="是","⛔淘汰(一票否决)",IF($O173&lt;='参数配置'!$B$12,"⭐优先上架Top N",IF($N173&gt;='参数配置'!$B$13,"观察跟进","暂缓/优化后再评"))))</f>
        <v/>
      </c>
    </row>
    <row r="174">
      <c r="A174" s="52" t="n"/>
      <c r="B174" s="46">
        <f>IFERROR(VLOOKUP($A174,'SKU主表'!$A:$M,2,0),"")</f>
        <v/>
      </c>
      <c r="C174" s="47">
        <f>IFERROR(VLOOKUP($A174,'SKU主表'!$A:$M,9,0),"")</f>
        <v/>
      </c>
      <c r="D174" s="52" t="n"/>
      <c r="E174" s="52" t="n"/>
      <c r="F174" s="48">
        <f>IF($A174="","",IF(OR($C174="禁售",$C174="需资质",$D174="是",$E174="是"),"是","否"))</f>
        <v/>
      </c>
      <c r="G174" s="53" t="n"/>
      <c r="H174" s="53" t="n"/>
      <c r="I174" s="53" t="n"/>
      <c r="J174" s="53" t="n"/>
      <c r="K174" s="53" t="n"/>
      <c r="L174" s="53" t="n"/>
      <c r="M174" s="53" t="n"/>
      <c r="N174" s="50">
        <f>IF($A174="","",IF($F174="是",0,SUMPRODUCT($G174:$M174,$G$3:$M$3)))</f>
        <v/>
      </c>
      <c r="O174" s="51">
        <f>IF(OR($A174="",$N174=""),"",RANK($N174,$N$5:$N$204,0))</f>
        <v/>
      </c>
      <c r="P174" s="37">
        <f>IF($A174="","",IF($F174="是","⛔淘汰(一票否决)",IF($O174&lt;='参数配置'!$B$12,"⭐优先上架Top N",IF($N174&gt;='参数配置'!$B$13,"观察跟进","暂缓/优化后再评"))))</f>
        <v/>
      </c>
    </row>
    <row r="175">
      <c r="A175" s="52" t="n"/>
      <c r="B175" s="46">
        <f>IFERROR(VLOOKUP($A175,'SKU主表'!$A:$M,2,0),"")</f>
        <v/>
      </c>
      <c r="C175" s="47">
        <f>IFERROR(VLOOKUP($A175,'SKU主表'!$A:$M,9,0),"")</f>
        <v/>
      </c>
      <c r="D175" s="52" t="n"/>
      <c r="E175" s="52" t="n"/>
      <c r="F175" s="48">
        <f>IF($A175="","",IF(OR($C175="禁售",$C175="需资质",$D175="是",$E175="是"),"是","否"))</f>
        <v/>
      </c>
      <c r="G175" s="53" t="n"/>
      <c r="H175" s="53" t="n"/>
      <c r="I175" s="53" t="n"/>
      <c r="J175" s="53" t="n"/>
      <c r="K175" s="53" t="n"/>
      <c r="L175" s="53" t="n"/>
      <c r="M175" s="53" t="n"/>
      <c r="N175" s="50">
        <f>IF($A175="","",IF($F175="是",0,SUMPRODUCT($G175:$M175,$G$3:$M$3)))</f>
        <v/>
      </c>
      <c r="O175" s="51">
        <f>IF(OR($A175="",$N175=""),"",RANK($N175,$N$5:$N$204,0))</f>
        <v/>
      </c>
      <c r="P175" s="37">
        <f>IF($A175="","",IF($F175="是","⛔淘汰(一票否决)",IF($O175&lt;='参数配置'!$B$12,"⭐优先上架Top N",IF($N175&gt;='参数配置'!$B$13,"观察跟进","暂缓/优化后再评"))))</f>
        <v/>
      </c>
    </row>
    <row r="176">
      <c r="A176" s="52" t="n"/>
      <c r="B176" s="46">
        <f>IFERROR(VLOOKUP($A176,'SKU主表'!$A:$M,2,0),"")</f>
        <v/>
      </c>
      <c r="C176" s="47">
        <f>IFERROR(VLOOKUP($A176,'SKU主表'!$A:$M,9,0),"")</f>
        <v/>
      </c>
      <c r="D176" s="52" t="n"/>
      <c r="E176" s="52" t="n"/>
      <c r="F176" s="48">
        <f>IF($A176="","",IF(OR($C176="禁售",$C176="需资质",$D176="是",$E176="是"),"是","否"))</f>
        <v/>
      </c>
      <c r="G176" s="53" t="n"/>
      <c r="H176" s="53" t="n"/>
      <c r="I176" s="53" t="n"/>
      <c r="J176" s="53" t="n"/>
      <c r="K176" s="53" t="n"/>
      <c r="L176" s="53" t="n"/>
      <c r="M176" s="53" t="n"/>
      <c r="N176" s="50">
        <f>IF($A176="","",IF($F176="是",0,SUMPRODUCT($G176:$M176,$G$3:$M$3)))</f>
        <v/>
      </c>
      <c r="O176" s="51">
        <f>IF(OR($A176="",$N176=""),"",RANK($N176,$N$5:$N$204,0))</f>
        <v/>
      </c>
      <c r="P176" s="37">
        <f>IF($A176="","",IF($F176="是","⛔淘汰(一票否决)",IF($O176&lt;='参数配置'!$B$12,"⭐优先上架Top N",IF($N176&gt;='参数配置'!$B$13,"观察跟进","暂缓/优化后再评"))))</f>
        <v/>
      </c>
    </row>
    <row r="177">
      <c r="A177" s="52" t="n"/>
      <c r="B177" s="46">
        <f>IFERROR(VLOOKUP($A177,'SKU主表'!$A:$M,2,0),"")</f>
        <v/>
      </c>
      <c r="C177" s="47">
        <f>IFERROR(VLOOKUP($A177,'SKU主表'!$A:$M,9,0),"")</f>
        <v/>
      </c>
      <c r="D177" s="52" t="n"/>
      <c r="E177" s="52" t="n"/>
      <c r="F177" s="48">
        <f>IF($A177="","",IF(OR($C177="禁售",$C177="需资质",$D177="是",$E177="是"),"是","否"))</f>
        <v/>
      </c>
      <c r="G177" s="53" t="n"/>
      <c r="H177" s="53" t="n"/>
      <c r="I177" s="53" t="n"/>
      <c r="J177" s="53" t="n"/>
      <c r="K177" s="53" t="n"/>
      <c r="L177" s="53" t="n"/>
      <c r="M177" s="53" t="n"/>
      <c r="N177" s="50">
        <f>IF($A177="","",IF($F177="是",0,SUMPRODUCT($G177:$M177,$G$3:$M$3)))</f>
        <v/>
      </c>
      <c r="O177" s="51">
        <f>IF(OR($A177="",$N177=""),"",RANK($N177,$N$5:$N$204,0))</f>
        <v/>
      </c>
      <c r="P177" s="37">
        <f>IF($A177="","",IF($F177="是","⛔淘汰(一票否决)",IF($O177&lt;='参数配置'!$B$12,"⭐优先上架Top N",IF($N177&gt;='参数配置'!$B$13,"观察跟进","暂缓/优化后再评"))))</f>
        <v/>
      </c>
    </row>
    <row r="178">
      <c r="A178" s="52" t="n"/>
      <c r="B178" s="46">
        <f>IFERROR(VLOOKUP($A178,'SKU主表'!$A:$M,2,0),"")</f>
        <v/>
      </c>
      <c r="C178" s="47">
        <f>IFERROR(VLOOKUP($A178,'SKU主表'!$A:$M,9,0),"")</f>
        <v/>
      </c>
      <c r="D178" s="52" t="n"/>
      <c r="E178" s="52" t="n"/>
      <c r="F178" s="48">
        <f>IF($A178="","",IF(OR($C178="禁售",$C178="需资质",$D178="是",$E178="是"),"是","否"))</f>
        <v/>
      </c>
      <c r="G178" s="53" t="n"/>
      <c r="H178" s="53" t="n"/>
      <c r="I178" s="53" t="n"/>
      <c r="J178" s="53" t="n"/>
      <c r="K178" s="53" t="n"/>
      <c r="L178" s="53" t="n"/>
      <c r="M178" s="53" t="n"/>
      <c r="N178" s="50">
        <f>IF($A178="","",IF($F178="是",0,SUMPRODUCT($G178:$M178,$G$3:$M$3)))</f>
        <v/>
      </c>
      <c r="O178" s="51">
        <f>IF(OR($A178="",$N178=""),"",RANK($N178,$N$5:$N$204,0))</f>
        <v/>
      </c>
      <c r="P178" s="37">
        <f>IF($A178="","",IF($F178="是","⛔淘汰(一票否决)",IF($O178&lt;='参数配置'!$B$12,"⭐优先上架Top N",IF($N178&gt;='参数配置'!$B$13,"观察跟进","暂缓/优化后再评"))))</f>
        <v/>
      </c>
    </row>
    <row r="179">
      <c r="A179" s="52" t="n"/>
      <c r="B179" s="46">
        <f>IFERROR(VLOOKUP($A179,'SKU主表'!$A:$M,2,0),"")</f>
        <v/>
      </c>
      <c r="C179" s="47">
        <f>IFERROR(VLOOKUP($A179,'SKU主表'!$A:$M,9,0),"")</f>
        <v/>
      </c>
      <c r="D179" s="52" t="n"/>
      <c r="E179" s="52" t="n"/>
      <c r="F179" s="48">
        <f>IF($A179="","",IF(OR($C179="禁售",$C179="需资质",$D179="是",$E179="是"),"是","否"))</f>
        <v/>
      </c>
      <c r="G179" s="53" t="n"/>
      <c r="H179" s="53" t="n"/>
      <c r="I179" s="53" t="n"/>
      <c r="J179" s="53" t="n"/>
      <c r="K179" s="53" t="n"/>
      <c r="L179" s="53" t="n"/>
      <c r="M179" s="53" t="n"/>
      <c r="N179" s="50">
        <f>IF($A179="","",IF($F179="是",0,SUMPRODUCT($G179:$M179,$G$3:$M$3)))</f>
        <v/>
      </c>
      <c r="O179" s="51">
        <f>IF(OR($A179="",$N179=""),"",RANK($N179,$N$5:$N$204,0))</f>
        <v/>
      </c>
      <c r="P179" s="37">
        <f>IF($A179="","",IF($F179="是","⛔淘汰(一票否决)",IF($O179&lt;='参数配置'!$B$12,"⭐优先上架Top N",IF($N179&gt;='参数配置'!$B$13,"观察跟进","暂缓/优化后再评"))))</f>
        <v/>
      </c>
    </row>
    <row r="180">
      <c r="A180" s="52" t="n"/>
      <c r="B180" s="46">
        <f>IFERROR(VLOOKUP($A180,'SKU主表'!$A:$M,2,0),"")</f>
        <v/>
      </c>
      <c r="C180" s="47">
        <f>IFERROR(VLOOKUP($A180,'SKU主表'!$A:$M,9,0),"")</f>
        <v/>
      </c>
      <c r="D180" s="52" t="n"/>
      <c r="E180" s="52" t="n"/>
      <c r="F180" s="48">
        <f>IF($A180="","",IF(OR($C180="禁售",$C180="需资质",$D180="是",$E180="是"),"是","否"))</f>
        <v/>
      </c>
      <c r="G180" s="53" t="n"/>
      <c r="H180" s="53" t="n"/>
      <c r="I180" s="53" t="n"/>
      <c r="J180" s="53" t="n"/>
      <c r="K180" s="53" t="n"/>
      <c r="L180" s="53" t="n"/>
      <c r="M180" s="53" t="n"/>
      <c r="N180" s="50">
        <f>IF($A180="","",IF($F180="是",0,SUMPRODUCT($G180:$M180,$G$3:$M$3)))</f>
        <v/>
      </c>
      <c r="O180" s="51">
        <f>IF(OR($A180="",$N180=""),"",RANK($N180,$N$5:$N$204,0))</f>
        <v/>
      </c>
      <c r="P180" s="37">
        <f>IF($A180="","",IF($F180="是","⛔淘汰(一票否决)",IF($O180&lt;='参数配置'!$B$12,"⭐优先上架Top N",IF($N180&gt;='参数配置'!$B$13,"观察跟进","暂缓/优化后再评"))))</f>
        <v/>
      </c>
    </row>
    <row r="181">
      <c r="A181" s="52" t="n"/>
      <c r="B181" s="46">
        <f>IFERROR(VLOOKUP($A181,'SKU主表'!$A:$M,2,0),"")</f>
        <v/>
      </c>
      <c r="C181" s="47">
        <f>IFERROR(VLOOKUP($A181,'SKU主表'!$A:$M,9,0),"")</f>
        <v/>
      </c>
      <c r="D181" s="52" t="n"/>
      <c r="E181" s="52" t="n"/>
      <c r="F181" s="48">
        <f>IF($A181="","",IF(OR($C181="禁售",$C181="需资质",$D181="是",$E181="是"),"是","否"))</f>
        <v/>
      </c>
      <c r="G181" s="53" t="n"/>
      <c r="H181" s="53" t="n"/>
      <c r="I181" s="53" t="n"/>
      <c r="J181" s="53" t="n"/>
      <c r="K181" s="53" t="n"/>
      <c r="L181" s="53" t="n"/>
      <c r="M181" s="53" t="n"/>
      <c r="N181" s="50">
        <f>IF($A181="","",IF($F181="是",0,SUMPRODUCT($G181:$M181,$G$3:$M$3)))</f>
        <v/>
      </c>
      <c r="O181" s="51">
        <f>IF(OR($A181="",$N181=""),"",RANK($N181,$N$5:$N$204,0))</f>
        <v/>
      </c>
      <c r="P181" s="37">
        <f>IF($A181="","",IF($F181="是","⛔淘汰(一票否决)",IF($O181&lt;='参数配置'!$B$12,"⭐优先上架Top N",IF($N181&gt;='参数配置'!$B$13,"观察跟进","暂缓/优化后再评"))))</f>
        <v/>
      </c>
    </row>
    <row r="182">
      <c r="A182" s="52" t="n"/>
      <c r="B182" s="46">
        <f>IFERROR(VLOOKUP($A182,'SKU主表'!$A:$M,2,0),"")</f>
        <v/>
      </c>
      <c r="C182" s="47">
        <f>IFERROR(VLOOKUP($A182,'SKU主表'!$A:$M,9,0),"")</f>
        <v/>
      </c>
      <c r="D182" s="52" t="n"/>
      <c r="E182" s="52" t="n"/>
      <c r="F182" s="48">
        <f>IF($A182="","",IF(OR($C182="禁售",$C182="需资质",$D182="是",$E182="是"),"是","否"))</f>
        <v/>
      </c>
      <c r="G182" s="53" t="n"/>
      <c r="H182" s="53" t="n"/>
      <c r="I182" s="53" t="n"/>
      <c r="J182" s="53" t="n"/>
      <c r="K182" s="53" t="n"/>
      <c r="L182" s="53" t="n"/>
      <c r="M182" s="53" t="n"/>
      <c r="N182" s="50">
        <f>IF($A182="","",IF($F182="是",0,SUMPRODUCT($G182:$M182,$G$3:$M$3)))</f>
        <v/>
      </c>
      <c r="O182" s="51">
        <f>IF(OR($A182="",$N182=""),"",RANK($N182,$N$5:$N$204,0))</f>
        <v/>
      </c>
      <c r="P182" s="37">
        <f>IF($A182="","",IF($F182="是","⛔淘汰(一票否决)",IF($O182&lt;='参数配置'!$B$12,"⭐优先上架Top N",IF($N182&gt;='参数配置'!$B$13,"观察跟进","暂缓/优化后再评"))))</f>
        <v/>
      </c>
    </row>
    <row r="183">
      <c r="A183" s="52" t="n"/>
      <c r="B183" s="46">
        <f>IFERROR(VLOOKUP($A183,'SKU主表'!$A:$M,2,0),"")</f>
        <v/>
      </c>
      <c r="C183" s="47">
        <f>IFERROR(VLOOKUP($A183,'SKU主表'!$A:$M,9,0),"")</f>
        <v/>
      </c>
      <c r="D183" s="52" t="n"/>
      <c r="E183" s="52" t="n"/>
      <c r="F183" s="48">
        <f>IF($A183="","",IF(OR($C183="禁售",$C183="需资质",$D183="是",$E183="是"),"是","否"))</f>
        <v/>
      </c>
      <c r="G183" s="53" t="n"/>
      <c r="H183" s="53" t="n"/>
      <c r="I183" s="53" t="n"/>
      <c r="J183" s="53" t="n"/>
      <c r="K183" s="53" t="n"/>
      <c r="L183" s="53" t="n"/>
      <c r="M183" s="53" t="n"/>
      <c r="N183" s="50">
        <f>IF($A183="","",IF($F183="是",0,SUMPRODUCT($G183:$M183,$G$3:$M$3)))</f>
        <v/>
      </c>
      <c r="O183" s="51">
        <f>IF(OR($A183="",$N183=""),"",RANK($N183,$N$5:$N$204,0))</f>
        <v/>
      </c>
      <c r="P183" s="37">
        <f>IF($A183="","",IF($F183="是","⛔淘汰(一票否决)",IF($O183&lt;='参数配置'!$B$12,"⭐优先上架Top N",IF($N183&gt;='参数配置'!$B$13,"观察跟进","暂缓/优化后再评"))))</f>
        <v/>
      </c>
    </row>
    <row r="184">
      <c r="A184" s="52" t="n"/>
      <c r="B184" s="46">
        <f>IFERROR(VLOOKUP($A184,'SKU主表'!$A:$M,2,0),"")</f>
        <v/>
      </c>
      <c r="C184" s="47">
        <f>IFERROR(VLOOKUP($A184,'SKU主表'!$A:$M,9,0),"")</f>
        <v/>
      </c>
      <c r="D184" s="52" t="n"/>
      <c r="E184" s="52" t="n"/>
      <c r="F184" s="48">
        <f>IF($A184="","",IF(OR($C184="禁售",$C184="需资质",$D184="是",$E184="是"),"是","否"))</f>
        <v/>
      </c>
      <c r="G184" s="53" t="n"/>
      <c r="H184" s="53" t="n"/>
      <c r="I184" s="53" t="n"/>
      <c r="J184" s="53" t="n"/>
      <c r="K184" s="53" t="n"/>
      <c r="L184" s="53" t="n"/>
      <c r="M184" s="53" t="n"/>
      <c r="N184" s="50">
        <f>IF($A184="","",IF($F184="是",0,SUMPRODUCT($G184:$M184,$G$3:$M$3)))</f>
        <v/>
      </c>
      <c r="O184" s="51">
        <f>IF(OR($A184="",$N184=""),"",RANK($N184,$N$5:$N$204,0))</f>
        <v/>
      </c>
      <c r="P184" s="37">
        <f>IF($A184="","",IF($F184="是","⛔淘汰(一票否决)",IF($O184&lt;='参数配置'!$B$12,"⭐优先上架Top N",IF($N184&gt;='参数配置'!$B$13,"观察跟进","暂缓/优化后再评"))))</f>
        <v/>
      </c>
    </row>
    <row r="185">
      <c r="A185" s="52" t="n"/>
      <c r="B185" s="46">
        <f>IFERROR(VLOOKUP($A185,'SKU主表'!$A:$M,2,0),"")</f>
        <v/>
      </c>
      <c r="C185" s="47">
        <f>IFERROR(VLOOKUP($A185,'SKU主表'!$A:$M,9,0),"")</f>
        <v/>
      </c>
      <c r="D185" s="52" t="n"/>
      <c r="E185" s="52" t="n"/>
      <c r="F185" s="48">
        <f>IF($A185="","",IF(OR($C185="禁售",$C185="需资质",$D185="是",$E185="是"),"是","否"))</f>
        <v/>
      </c>
      <c r="G185" s="53" t="n"/>
      <c r="H185" s="53" t="n"/>
      <c r="I185" s="53" t="n"/>
      <c r="J185" s="53" t="n"/>
      <c r="K185" s="53" t="n"/>
      <c r="L185" s="53" t="n"/>
      <c r="M185" s="53" t="n"/>
      <c r="N185" s="50">
        <f>IF($A185="","",IF($F185="是",0,SUMPRODUCT($G185:$M185,$G$3:$M$3)))</f>
        <v/>
      </c>
      <c r="O185" s="51">
        <f>IF(OR($A185="",$N185=""),"",RANK($N185,$N$5:$N$204,0))</f>
        <v/>
      </c>
      <c r="P185" s="37">
        <f>IF($A185="","",IF($F185="是","⛔淘汰(一票否决)",IF($O185&lt;='参数配置'!$B$12,"⭐优先上架Top N",IF($N185&gt;='参数配置'!$B$13,"观察跟进","暂缓/优化后再评"))))</f>
        <v/>
      </c>
    </row>
    <row r="186">
      <c r="A186" s="52" t="n"/>
      <c r="B186" s="46">
        <f>IFERROR(VLOOKUP($A186,'SKU主表'!$A:$M,2,0),"")</f>
        <v/>
      </c>
      <c r="C186" s="47">
        <f>IFERROR(VLOOKUP($A186,'SKU主表'!$A:$M,9,0),"")</f>
        <v/>
      </c>
      <c r="D186" s="52" t="n"/>
      <c r="E186" s="52" t="n"/>
      <c r="F186" s="48">
        <f>IF($A186="","",IF(OR($C186="禁售",$C186="需资质",$D186="是",$E186="是"),"是","否"))</f>
        <v/>
      </c>
      <c r="G186" s="53" t="n"/>
      <c r="H186" s="53" t="n"/>
      <c r="I186" s="53" t="n"/>
      <c r="J186" s="53" t="n"/>
      <c r="K186" s="53" t="n"/>
      <c r="L186" s="53" t="n"/>
      <c r="M186" s="53" t="n"/>
      <c r="N186" s="50">
        <f>IF($A186="","",IF($F186="是",0,SUMPRODUCT($G186:$M186,$G$3:$M$3)))</f>
        <v/>
      </c>
      <c r="O186" s="51">
        <f>IF(OR($A186="",$N186=""),"",RANK($N186,$N$5:$N$204,0))</f>
        <v/>
      </c>
      <c r="P186" s="37">
        <f>IF($A186="","",IF($F186="是","⛔淘汰(一票否决)",IF($O186&lt;='参数配置'!$B$12,"⭐优先上架Top N",IF($N186&gt;='参数配置'!$B$13,"观察跟进","暂缓/优化后再评"))))</f>
        <v/>
      </c>
    </row>
    <row r="187">
      <c r="A187" s="52" t="n"/>
      <c r="B187" s="46">
        <f>IFERROR(VLOOKUP($A187,'SKU主表'!$A:$M,2,0),"")</f>
        <v/>
      </c>
      <c r="C187" s="47">
        <f>IFERROR(VLOOKUP($A187,'SKU主表'!$A:$M,9,0),"")</f>
        <v/>
      </c>
      <c r="D187" s="52" t="n"/>
      <c r="E187" s="52" t="n"/>
      <c r="F187" s="48">
        <f>IF($A187="","",IF(OR($C187="禁售",$C187="需资质",$D187="是",$E187="是"),"是","否"))</f>
        <v/>
      </c>
      <c r="G187" s="53" t="n"/>
      <c r="H187" s="53" t="n"/>
      <c r="I187" s="53" t="n"/>
      <c r="J187" s="53" t="n"/>
      <c r="K187" s="53" t="n"/>
      <c r="L187" s="53" t="n"/>
      <c r="M187" s="53" t="n"/>
      <c r="N187" s="50">
        <f>IF($A187="","",IF($F187="是",0,SUMPRODUCT($G187:$M187,$G$3:$M$3)))</f>
        <v/>
      </c>
      <c r="O187" s="51">
        <f>IF(OR($A187="",$N187=""),"",RANK($N187,$N$5:$N$204,0))</f>
        <v/>
      </c>
      <c r="P187" s="37">
        <f>IF($A187="","",IF($F187="是","⛔淘汰(一票否决)",IF($O187&lt;='参数配置'!$B$12,"⭐优先上架Top N",IF($N187&gt;='参数配置'!$B$13,"观察跟进","暂缓/优化后再评"))))</f>
        <v/>
      </c>
    </row>
    <row r="188">
      <c r="A188" s="52" t="n"/>
      <c r="B188" s="46">
        <f>IFERROR(VLOOKUP($A188,'SKU主表'!$A:$M,2,0),"")</f>
        <v/>
      </c>
      <c r="C188" s="47">
        <f>IFERROR(VLOOKUP($A188,'SKU主表'!$A:$M,9,0),"")</f>
        <v/>
      </c>
      <c r="D188" s="52" t="n"/>
      <c r="E188" s="52" t="n"/>
      <c r="F188" s="48">
        <f>IF($A188="","",IF(OR($C188="禁售",$C188="需资质",$D188="是",$E188="是"),"是","否"))</f>
        <v/>
      </c>
      <c r="G188" s="53" t="n"/>
      <c r="H188" s="53" t="n"/>
      <c r="I188" s="53" t="n"/>
      <c r="J188" s="53" t="n"/>
      <c r="K188" s="53" t="n"/>
      <c r="L188" s="53" t="n"/>
      <c r="M188" s="53" t="n"/>
      <c r="N188" s="50">
        <f>IF($A188="","",IF($F188="是",0,SUMPRODUCT($G188:$M188,$G$3:$M$3)))</f>
        <v/>
      </c>
      <c r="O188" s="51">
        <f>IF(OR($A188="",$N188=""),"",RANK($N188,$N$5:$N$204,0))</f>
        <v/>
      </c>
      <c r="P188" s="37">
        <f>IF($A188="","",IF($F188="是","⛔淘汰(一票否决)",IF($O188&lt;='参数配置'!$B$12,"⭐优先上架Top N",IF($N188&gt;='参数配置'!$B$13,"观察跟进","暂缓/优化后再评"))))</f>
        <v/>
      </c>
    </row>
    <row r="189">
      <c r="A189" s="52" t="n"/>
      <c r="B189" s="46">
        <f>IFERROR(VLOOKUP($A189,'SKU主表'!$A:$M,2,0),"")</f>
        <v/>
      </c>
      <c r="C189" s="47">
        <f>IFERROR(VLOOKUP($A189,'SKU主表'!$A:$M,9,0),"")</f>
        <v/>
      </c>
      <c r="D189" s="52" t="n"/>
      <c r="E189" s="52" t="n"/>
      <c r="F189" s="48">
        <f>IF($A189="","",IF(OR($C189="禁售",$C189="需资质",$D189="是",$E189="是"),"是","否"))</f>
        <v/>
      </c>
      <c r="G189" s="53" t="n"/>
      <c r="H189" s="53" t="n"/>
      <c r="I189" s="53" t="n"/>
      <c r="J189" s="53" t="n"/>
      <c r="K189" s="53" t="n"/>
      <c r="L189" s="53" t="n"/>
      <c r="M189" s="53" t="n"/>
      <c r="N189" s="50">
        <f>IF($A189="","",IF($F189="是",0,SUMPRODUCT($G189:$M189,$G$3:$M$3)))</f>
        <v/>
      </c>
      <c r="O189" s="51">
        <f>IF(OR($A189="",$N189=""),"",RANK($N189,$N$5:$N$204,0))</f>
        <v/>
      </c>
      <c r="P189" s="37">
        <f>IF($A189="","",IF($F189="是","⛔淘汰(一票否决)",IF($O189&lt;='参数配置'!$B$12,"⭐优先上架Top N",IF($N189&gt;='参数配置'!$B$13,"观察跟进","暂缓/优化后再评"))))</f>
        <v/>
      </c>
    </row>
    <row r="190">
      <c r="A190" s="52" t="n"/>
      <c r="B190" s="46">
        <f>IFERROR(VLOOKUP($A190,'SKU主表'!$A:$M,2,0),"")</f>
        <v/>
      </c>
      <c r="C190" s="47">
        <f>IFERROR(VLOOKUP($A190,'SKU主表'!$A:$M,9,0),"")</f>
        <v/>
      </c>
      <c r="D190" s="52" t="n"/>
      <c r="E190" s="52" t="n"/>
      <c r="F190" s="48">
        <f>IF($A190="","",IF(OR($C190="禁售",$C190="需资质",$D190="是",$E190="是"),"是","否"))</f>
        <v/>
      </c>
      <c r="G190" s="53" t="n"/>
      <c r="H190" s="53" t="n"/>
      <c r="I190" s="53" t="n"/>
      <c r="J190" s="53" t="n"/>
      <c r="K190" s="53" t="n"/>
      <c r="L190" s="53" t="n"/>
      <c r="M190" s="53" t="n"/>
      <c r="N190" s="50">
        <f>IF($A190="","",IF($F190="是",0,SUMPRODUCT($G190:$M190,$G$3:$M$3)))</f>
        <v/>
      </c>
      <c r="O190" s="51">
        <f>IF(OR($A190="",$N190=""),"",RANK($N190,$N$5:$N$204,0))</f>
        <v/>
      </c>
      <c r="P190" s="37">
        <f>IF($A190="","",IF($F190="是","⛔淘汰(一票否决)",IF($O190&lt;='参数配置'!$B$12,"⭐优先上架Top N",IF($N190&gt;='参数配置'!$B$13,"观察跟进","暂缓/优化后再评"))))</f>
        <v/>
      </c>
    </row>
    <row r="191">
      <c r="A191" s="52" t="n"/>
      <c r="B191" s="46">
        <f>IFERROR(VLOOKUP($A191,'SKU主表'!$A:$M,2,0),"")</f>
        <v/>
      </c>
      <c r="C191" s="47">
        <f>IFERROR(VLOOKUP($A191,'SKU主表'!$A:$M,9,0),"")</f>
        <v/>
      </c>
      <c r="D191" s="52" t="n"/>
      <c r="E191" s="52" t="n"/>
      <c r="F191" s="48">
        <f>IF($A191="","",IF(OR($C191="禁售",$C191="需资质",$D191="是",$E191="是"),"是","否"))</f>
        <v/>
      </c>
      <c r="G191" s="53" t="n"/>
      <c r="H191" s="53" t="n"/>
      <c r="I191" s="53" t="n"/>
      <c r="J191" s="53" t="n"/>
      <c r="K191" s="53" t="n"/>
      <c r="L191" s="53" t="n"/>
      <c r="M191" s="53" t="n"/>
      <c r="N191" s="50">
        <f>IF($A191="","",IF($F191="是",0,SUMPRODUCT($G191:$M191,$G$3:$M$3)))</f>
        <v/>
      </c>
      <c r="O191" s="51">
        <f>IF(OR($A191="",$N191=""),"",RANK($N191,$N$5:$N$204,0))</f>
        <v/>
      </c>
      <c r="P191" s="37">
        <f>IF($A191="","",IF($F191="是","⛔淘汰(一票否决)",IF($O191&lt;='参数配置'!$B$12,"⭐优先上架Top N",IF($N191&gt;='参数配置'!$B$13,"观察跟进","暂缓/优化后再评"))))</f>
        <v/>
      </c>
    </row>
    <row r="192">
      <c r="A192" s="52" t="n"/>
      <c r="B192" s="46">
        <f>IFERROR(VLOOKUP($A192,'SKU主表'!$A:$M,2,0),"")</f>
        <v/>
      </c>
      <c r="C192" s="47">
        <f>IFERROR(VLOOKUP($A192,'SKU主表'!$A:$M,9,0),"")</f>
        <v/>
      </c>
      <c r="D192" s="52" t="n"/>
      <c r="E192" s="52" t="n"/>
      <c r="F192" s="48">
        <f>IF($A192="","",IF(OR($C192="禁售",$C192="需资质",$D192="是",$E192="是"),"是","否"))</f>
        <v/>
      </c>
      <c r="G192" s="53" t="n"/>
      <c r="H192" s="53" t="n"/>
      <c r="I192" s="53" t="n"/>
      <c r="J192" s="53" t="n"/>
      <c r="K192" s="53" t="n"/>
      <c r="L192" s="53" t="n"/>
      <c r="M192" s="53" t="n"/>
      <c r="N192" s="50">
        <f>IF($A192="","",IF($F192="是",0,SUMPRODUCT($G192:$M192,$G$3:$M$3)))</f>
        <v/>
      </c>
      <c r="O192" s="51">
        <f>IF(OR($A192="",$N192=""),"",RANK($N192,$N$5:$N$204,0))</f>
        <v/>
      </c>
      <c r="P192" s="37">
        <f>IF($A192="","",IF($F192="是","⛔淘汰(一票否决)",IF($O192&lt;='参数配置'!$B$12,"⭐优先上架Top N",IF($N192&gt;='参数配置'!$B$13,"观察跟进","暂缓/优化后再评"))))</f>
        <v/>
      </c>
    </row>
    <row r="193">
      <c r="A193" s="52" t="n"/>
      <c r="B193" s="46">
        <f>IFERROR(VLOOKUP($A193,'SKU主表'!$A:$M,2,0),"")</f>
        <v/>
      </c>
      <c r="C193" s="47">
        <f>IFERROR(VLOOKUP($A193,'SKU主表'!$A:$M,9,0),"")</f>
        <v/>
      </c>
      <c r="D193" s="52" t="n"/>
      <c r="E193" s="52" t="n"/>
      <c r="F193" s="48">
        <f>IF($A193="","",IF(OR($C193="禁售",$C193="需资质",$D193="是",$E193="是"),"是","否"))</f>
        <v/>
      </c>
      <c r="G193" s="53" t="n"/>
      <c r="H193" s="53" t="n"/>
      <c r="I193" s="53" t="n"/>
      <c r="J193" s="53" t="n"/>
      <c r="K193" s="53" t="n"/>
      <c r="L193" s="53" t="n"/>
      <c r="M193" s="53" t="n"/>
      <c r="N193" s="50">
        <f>IF($A193="","",IF($F193="是",0,SUMPRODUCT($G193:$M193,$G$3:$M$3)))</f>
        <v/>
      </c>
      <c r="O193" s="51">
        <f>IF(OR($A193="",$N193=""),"",RANK($N193,$N$5:$N$204,0))</f>
        <v/>
      </c>
      <c r="P193" s="37">
        <f>IF($A193="","",IF($F193="是","⛔淘汰(一票否决)",IF($O193&lt;='参数配置'!$B$12,"⭐优先上架Top N",IF($N193&gt;='参数配置'!$B$13,"观察跟进","暂缓/优化后再评"))))</f>
        <v/>
      </c>
    </row>
    <row r="194">
      <c r="A194" s="52" t="n"/>
      <c r="B194" s="46">
        <f>IFERROR(VLOOKUP($A194,'SKU主表'!$A:$M,2,0),"")</f>
        <v/>
      </c>
      <c r="C194" s="47">
        <f>IFERROR(VLOOKUP($A194,'SKU主表'!$A:$M,9,0),"")</f>
        <v/>
      </c>
      <c r="D194" s="52" t="n"/>
      <c r="E194" s="52" t="n"/>
      <c r="F194" s="48">
        <f>IF($A194="","",IF(OR($C194="禁售",$C194="需资质",$D194="是",$E194="是"),"是","否"))</f>
        <v/>
      </c>
      <c r="G194" s="53" t="n"/>
      <c r="H194" s="53" t="n"/>
      <c r="I194" s="53" t="n"/>
      <c r="J194" s="53" t="n"/>
      <c r="K194" s="53" t="n"/>
      <c r="L194" s="53" t="n"/>
      <c r="M194" s="53" t="n"/>
      <c r="N194" s="50">
        <f>IF($A194="","",IF($F194="是",0,SUMPRODUCT($G194:$M194,$G$3:$M$3)))</f>
        <v/>
      </c>
      <c r="O194" s="51">
        <f>IF(OR($A194="",$N194=""),"",RANK($N194,$N$5:$N$204,0))</f>
        <v/>
      </c>
      <c r="P194" s="37">
        <f>IF($A194="","",IF($F194="是","⛔淘汰(一票否决)",IF($O194&lt;='参数配置'!$B$12,"⭐优先上架Top N",IF($N194&gt;='参数配置'!$B$13,"观察跟进","暂缓/优化后再评"))))</f>
        <v/>
      </c>
    </row>
    <row r="195">
      <c r="A195" s="52" t="n"/>
      <c r="B195" s="46">
        <f>IFERROR(VLOOKUP($A195,'SKU主表'!$A:$M,2,0),"")</f>
        <v/>
      </c>
      <c r="C195" s="47">
        <f>IFERROR(VLOOKUP($A195,'SKU主表'!$A:$M,9,0),"")</f>
        <v/>
      </c>
      <c r="D195" s="52" t="n"/>
      <c r="E195" s="52" t="n"/>
      <c r="F195" s="48">
        <f>IF($A195="","",IF(OR($C195="禁售",$C195="需资质",$D195="是",$E195="是"),"是","否"))</f>
        <v/>
      </c>
      <c r="G195" s="53" t="n"/>
      <c r="H195" s="53" t="n"/>
      <c r="I195" s="53" t="n"/>
      <c r="J195" s="53" t="n"/>
      <c r="K195" s="53" t="n"/>
      <c r="L195" s="53" t="n"/>
      <c r="M195" s="53" t="n"/>
      <c r="N195" s="50">
        <f>IF($A195="","",IF($F195="是",0,SUMPRODUCT($G195:$M195,$G$3:$M$3)))</f>
        <v/>
      </c>
      <c r="O195" s="51">
        <f>IF(OR($A195="",$N195=""),"",RANK($N195,$N$5:$N$204,0))</f>
        <v/>
      </c>
      <c r="P195" s="37">
        <f>IF($A195="","",IF($F195="是","⛔淘汰(一票否决)",IF($O195&lt;='参数配置'!$B$12,"⭐优先上架Top N",IF($N195&gt;='参数配置'!$B$13,"观察跟进","暂缓/优化后再评"))))</f>
        <v/>
      </c>
    </row>
    <row r="196">
      <c r="A196" s="52" t="n"/>
      <c r="B196" s="46">
        <f>IFERROR(VLOOKUP($A196,'SKU主表'!$A:$M,2,0),"")</f>
        <v/>
      </c>
      <c r="C196" s="47">
        <f>IFERROR(VLOOKUP($A196,'SKU主表'!$A:$M,9,0),"")</f>
        <v/>
      </c>
      <c r="D196" s="52" t="n"/>
      <c r="E196" s="52" t="n"/>
      <c r="F196" s="48">
        <f>IF($A196="","",IF(OR($C196="禁售",$C196="需资质",$D196="是",$E196="是"),"是","否"))</f>
        <v/>
      </c>
      <c r="G196" s="53" t="n"/>
      <c r="H196" s="53" t="n"/>
      <c r="I196" s="53" t="n"/>
      <c r="J196" s="53" t="n"/>
      <c r="K196" s="53" t="n"/>
      <c r="L196" s="53" t="n"/>
      <c r="M196" s="53" t="n"/>
      <c r="N196" s="50">
        <f>IF($A196="","",IF($F196="是",0,SUMPRODUCT($G196:$M196,$G$3:$M$3)))</f>
        <v/>
      </c>
      <c r="O196" s="51">
        <f>IF(OR($A196="",$N196=""),"",RANK($N196,$N$5:$N$204,0))</f>
        <v/>
      </c>
      <c r="P196" s="37">
        <f>IF($A196="","",IF($F196="是","⛔淘汰(一票否决)",IF($O196&lt;='参数配置'!$B$12,"⭐优先上架Top N",IF($N196&gt;='参数配置'!$B$13,"观察跟进","暂缓/优化后再评"))))</f>
        <v/>
      </c>
    </row>
    <row r="197">
      <c r="A197" s="52" t="n"/>
      <c r="B197" s="46">
        <f>IFERROR(VLOOKUP($A197,'SKU主表'!$A:$M,2,0),"")</f>
        <v/>
      </c>
      <c r="C197" s="47">
        <f>IFERROR(VLOOKUP($A197,'SKU主表'!$A:$M,9,0),"")</f>
        <v/>
      </c>
      <c r="D197" s="52" t="n"/>
      <c r="E197" s="52" t="n"/>
      <c r="F197" s="48">
        <f>IF($A197="","",IF(OR($C197="禁售",$C197="需资质",$D197="是",$E197="是"),"是","否"))</f>
        <v/>
      </c>
      <c r="G197" s="53" t="n"/>
      <c r="H197" s="53" t="n"/>
      <c r="I197" s="53" t="n"/>
      <c r="J197" s="53" t="n"/>
      <c r="K197" s="53" t="n"/>
      <c r="L197" s="53" t="n"/>
      <c r="M197" s="53" t="n"/>
      <c r="N197" s="50">
        <f>IF($A197="","",IF($F197="是",0,SUMPRODUCT($G197:$M197,$G$3:$M$3)))</f>
        <v/>
      </c>
      <c r="O197" s="51">
        <f>IF(OR($A197="",$N197=""),"",RANK($N197,$N$5:$N$204,0))</f>
        <v/>
      </c>
      <c r="P197" s="37">
        <f>IF($A197="","",IF($F197="是","⛔淘汰(一票否决)",IF($O197&lt;='参数配置'!$B$12,"⭐优先上架Top N",IF($N197&gt;='参数配置'!$B$13,"观察跟进","暂缓/优化后再评"))))</f>
        <v/>
      </c>
    </row>
    <row r="198">
      <c r="A198" s="52" t="n"/>
      <c r="B198" s="46">
        <f>IFERROR(VLOOKUP($A198,'SKU主表'!$A:$M,2,0),"")</f>
        <v/>
      </c>
      <c r="C198" s="47">
        <f>IFERROR(VLOOKUP($A198,'SKU主表'!$A:$M,9,0),"")</f>
        <v/>
      </c>
      <c r="D198" s="52" t="n"/>
      <c r="E198" s="52" t="n"/>
      <c r="F198" s="48">
        <f>IF($A198="","",IF(OR($C198="禁售",$C198="需资质",$D198="是",$E198="是"),"是","否"))</f>
        <v/>
      </c>
      <c r="G198" s="53" t="n"/>
      <c r="H198" s="53" t="n"/>
      <c r="I198" s="53" t="n"/>
      <c r="J198" s="53" t="n"/>
      <c r="K198" s="53" t="n"/>
      <c r="L198" s="53" t="n"/>
      <c r="M198" s="53" t="n"/>
      <c r="N198" s="50">
        <f>IF($A198="","",IF($F198="是",0,SUMPRODUCT($G198:$M198,$G$3:$M$3)))</f>
        <v/>
      </c>
      <c r="O198" s="51">
        <f>IF(OR($A198="",$N198=""),"",RANK($N198,$N$5:$N$204,0))</f>
        <v/>
      </c>
      <c r="P198" s="37">
        <f>IF($A198="","",IF($F198="是","⛔淘汰(一票否决)",IF($O198&lt;='参数配置'!$B$12,"⭐优先上架Top N",IF($N198&gt;='参数配置'!$B$13,"观察跟进","暂缓/优化后再评"))))</f>
        <v/>
      </c>
    </row>
    <row r="199">
      <c r="A199" s="52" t="n"/>
      <c r="B199" s="46">
        <f>IFERROR(VLOOKUP($A199,'SKU主表'!$A:$M,2,0),"")</f>
        <v/>
      </c>
      <c r="C199" s="47">
        <f>IFERROR(VLOOKUP($A199,'SKU主表'!$A:$M,9,0),"")</f>
        <v/>
      </c>
      <c r="D199" s="52" t="n"/>
      <c r="E199" s="52" t="n"/>
      <c r="F199" s="48">
        <f>IF($A199="","",IF(OR($C199="禁售",$C199="需资质",$D199="是",$E199="是"),"是","否"))</f>
        <v/>
      </c>
      <c r="G199" s="53" t="n"/>
      <c r="H199" s="53" t="n"/>
      <c r="I199" s="53" t="n"/>
      <c r="J199" s="53" t="n"/>
      <c r="K199" s="53" t="n"/>
      <c r="L199" s="53" t="n"/>
      <c r="M199" s="53" t="n"/>
      <c r="N199" s="50">
        <f>IF($A199="","",IF($F199="是",0,SUMPRODUCT($G199:$M199,$G$3:$M$3)))</f>
        <v/>
      </c>
      <c r="O199" s="51">
        <f>IF(OR($A199="",$N199=""),"",RANK($N199,$N$5:$N$204,0))</f>
        <v/>
      </c>
      <c r="P199" s="37">
        <f>IF($A199="","",IF($F199="是","⛔淘汰(一票否决)",IF($O199&lt;='参数配置'!$B$12,"⭐优先上架Top N",IF($N199&gt;='参数配置'!$B$13,"观察跟进","暂缓/优化后再评"))))</f>
        <v/>
      </c>
    </row>
    <row r="200">
      <c r="A200" s="52" t="n"/>
      <c r="B200" s="46">
        <f>IFERROR(VLOOKUP($A200,'SKU主表'!$A:$M,2,0),"")</f>
        <v/>
      </c>
      <c r="C200" s="47">
        <f>IFERROR(VLOOKUP($A200,'SKU主表'!$A:$M,9,0),"")</f>
        <v/>
      </c>
      <c r="D200" s="52" t="n"/>
      <c r="E200" s="52" t="n"/>
      <c r="F200" s="48">
        <f>IF($A200="","",IF(OR($C200="禁售",$C200="需资质",$D200="是",$E200="是"),"是","否"))</f>
        <v/>
      </c>
      <c r="G200" s="53" t="n"/>
      <c r="H200" s="53" t="n"/>
      <c r="I200" s="53" t="n"/>
      <c r="J200" s="53" t="n"/>
      <c r="K200" s="53" t="n"/>
      <c r="L200" s="53" t="n"/>
      <c r="M200" s="53" t="n"/>
      <c r="N200" s="50">
        <f>IF($A200="","",IF($F200="是",0,SUMPRODUCT($G200:$M200,$G$3:$M$3)))</f>
        <v/>
      </c>
      <c r="O200" s="51">
        <f>IF(OR($A200="",$N200=""),"",RANK($N200,$N$5:$N$204,0))</f>
        <v/>
      </c>
      <c r="P200" s="37">
        <f>IF($A200="","",IF($F200="是","⛔淘汰(一票否决)",IF($O200&lt;='参数配置'!$B$12,"⭐优先上架Top N",IF($N200&gt;='参数配置'!$B$13,"观察跟进","暂缓/优化后再评"))))</f>
        <v/>
      </c>
    </row>
    <row r="201">
      <c r="A201" s="52" t="n"/>
      <c r="B201" s="46">
        <f>IFERROR(VLOOKUP($A201,'SKU主表'!$A:$M,2,0),"")</f>
        <v/>
      </c>
      <c r="C201" s="47">
        <f>IFERROR(VLOOKUP($A201,'SKU主表'!$A:$M,9,0),"")</f>
        <v/>
      </c>
      <c r="D201" s="52" t="n"/>
      <c r="E201" s="52" t="n"/>
      <c r="F201" s="48">
        <f>IF($A201="","",IF(OR($C201="禁售",$C201="需资质",$D201="是",$E201="是"),"是","否"))</f>
        <v/>
      </c>
      <c r="G201" s="53" t="n"/>
      <c r="H201" s="53" t="n"/>
      <c r="I201" s="53" t="n"/>
      <c r="J201" s="53" t="n"/>
      <c r="K201" s="53" t="n"/>
      <c r="L201" s="53" t="n"/>
      <c r="M201" s="53" t="n"/>
      <c r="N201" s="50">
        <f>IF($A201="","",IF($F201="是",0,SUMPRODUCT($G201:$M201,$G$3:$M$3)))</f>
        <v/>
      </c>
      <c r="O201" s="51">
        <f>IF(OR($A201="",$N201=""),"",RANK($N201,$N$5:$N$204,0))</f>
        <v/>
      </c>
      <c r="P201" s="37">
        <f>IF($A201="","",IF($F201="是","⛔淘汰(一票否决)",IF($O201&lt;='参数配置'!$B$12,"⭐优先上架Top N",IF($N201&gt;='参数配置'!$B$13,"观察跟进","暂缓/优化后再评"))))</f>
        <v/>
      </c>
    </row>
    <row r="202">
      <c r="A202" s="52" t="n"/>
      <c r="B202" s="46">
        <f>IFERROR(VLOOKUP($A202,'SKU主表'!$A:$M,2,0),"")</f>
        <v/>
      </c>
      <c r="C202" s="47">
        <f>IFERROR(VLOOKUP($A202,'SKU主表'!$A:$M,9,0),"")</f>
        <v/>
      </c>
      <c r="D202" s="52" t="n"/>
      <c r="E202" s="52" t="n"/>
      <c r="F202" s="48">
        <f>IF($A202="","",IF(OR($C202="禁售",$C202="需资质",$D202="是",$E202="是"),"是","否"))</f>
        <v/>
      </c>
      <c r="G202" s="53" t="n"/>
      <c r="H202" s="53" t="n"/>
      <c r="I202" s="53" t="n"/>
      <c r="J202" s="53" t="n"/>
      <c r="K202" s="53" t="n"/>
      <c r="L202" s="53" t="n"/>
      <c r="M202" s="53" t="n"/>
      <c r="N202" s="50">
        <f>IF($A202="","",IF($F202="是",0,SUMPRODUCT($G202:$M202,$G$3:$M$3)))</f>
        <v/>
      </c>
      <c r="O202" s="51">
        <f>IF(OR($A202="",$N202=""),"",RANK($N202,$N$5:$N$204,0))</f>
        <v/>
      </c>
      <c r="P202" s="37">
        <f>IF($A202="","",IF($F202="是","⛔淘汰(一票否决)",IF($O202&lt;='参数配置'!$B$12,"⭐优先上架Top N",IF($N202&gt;='参数配置'!$B$13,"观察跟进","暂缓/优化后再评"))))</f>
        <v/>
      </c>
    </row>
    <row r="203">
      <c r="A203" s="52" t="n"/>
      <c r="B203" s="46">
        <f>IFERROR(VLOOKUP($A203,'SKU主表'!$A:$M,2,0),"")</f>
        <v/>
      </c>
      <c r="C203" s="47">
        <f>IFERROR(VLOOKUP($A203,'SKU主表'!$A:$M,9,0),"")</f>
        <v/>
      </c>
      <c r="D203" s="52" t="n"/>
      <c r="E203" s="52" t="n"/>
      <c r="F203" s="48">
        <f>IF($A203="","",IF(OR($C203="禁售",$C203="需资质",$D203="是",$E203="是"),"是","否"))</f>
        <v/>
      </c>
      <c r="G203" s="53" t="n"/>
      <c r="H203" s="53" t="n"/>
      <c r="I203" s="53" t="n"/>
      <c r="J203" s="53" t="n"/>
      <c r="K203" s="53" t="n"/>
      <c r="L203" s="53" t="n"/>
      <c r="M203" s="53" t="n"/>
      <c r="N203" s="50">
        <f>IF($A203="","",IF($F203="是",0,SUMPRODUCT($G203:$M203,$G$3:$M$3)))</f>
        <v/>
      </c>
      <c r="O203" s="51">
        <f>IF(OR($A203="",$N203=""),"",RANK($N203,$N$5:$N$204,0))</f>
        <v/>
      </c>
      <c r="P203" s="37">
        <f>IF($A203="","",IF($F203="是","⛔淘汰(一票否决)",IF($O203&lt;='参数配置'!$B$12,"⭐优先上架Top N",IF($N203&gt;='参数配置'!$B$13,"观察跟进","暂缓/优化后再评"))))</f>
        <v/>
      </c>
    </row>
    <row r="204">
      <c r="A204" s="52" t="n"/>
      <c r="B204" s="46">
        <f>IFERROR(VLOOKUP($A204,'SKU主表'!$A:$M,2,0),"")</f>
        <v/>
      </c>
      <c r="C204" s="47">
        <f>IFERROR(VLOOKUP($A204,'SKU主表'!$A:$M,9,0),"")</f>
        <v/>
      </c>
      <c r="D204" s="52" t="n"/>
      <c r="E204" s="52" t="n"/>
      <c r="F204" s="48">
        <f>IF($A204="","",IF(OR($C204="禁售",$C204="需资质",$D204="是",$E204="是"),"是","否"))</f>
        <v/>
      </c>
      <c r="G204" s="53" t="n"/>
      <c r="H204" s="53" t="n"/>
      <c r="I204" s="53" t="n"/>
      <c r="J204" s="53" t="n"/>
      <c r="K204" s="53" t="n"/>
      <c r="L204" s="53" t="n"/>
      <c r="M204" s="53" t="n"/>
      <c r="N204" s="50">
        <f>IF($A204="","",IF($F204="是",0,SUMPRODUCT($G204:$M204,$G$3:$M$3)))</f>
        <v/>
      </c>
      <c r="O204" s="51">
        <f>IF(OR($A204="",$N204=""),"",RANK($N204,$N$5:$N$204,0))</f>
        <v/>
      </c>
      <c r="P204" s="37">
        <f>IF($A204="","",IF($F204="是","⛔淘汰(一票否决)",IF($O204&lt;='参数配置'!$B$12,"⭐优先上架Top N",IF($N204&gt;='参数配置'!$B$13,"观察跟进","暂缓/优化后再评"))))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autoFilter ref="A4:P204"/>
  <mergeCells count="2">
    <mergeCell ref="A1:P1"/>
    <mergeCell ref="A2:P2"/>
  </mergeCells>
  <conditionalFormatting sqref="N3">
    <cfRule type="expression" priority="1" dxfId="0" stopIfTrue="1">
      <formula>ABS($N$3-1)&gt;0.001</formula>
    </cfRule>
    <cfRule type="expression" priority="2" dxfId="2" stopIfTrue="1">
      <formula>ABS($N$3-1)&lt;=0.001</formula>
    </cfRule>
  </conditionalFormatting>
  <conditionalFormatting sqref="F5:F204">
    <cfRule type="cellIs" priority="3" operator="equal" dxfId="0" stopIfTrue="1">
      <formula>"是"</formula>
    </cfRule>
  </conditionalFormatting>
  <conditionalFormatting sqref="P5:P204">
    <cfRule type="expression" priority="4" dxfId="3" stopIfTrue="1">
      <formula>ISNUMBER(SEARCH("⛔",$P5))</formula>
    </cfRule>
    <cfRule type="expression" priority="5" dxfId="4" stopIfTrue="1">
      <formula>ISNUMBER(SEARCH("⭐",$P5))</formula>
    </cfRule>
  </conditionalFormatting>
  <dataValidations count="3">
    <dataValidation sqref="A5:A204" showDropDown="0" showInputMessage="0" showErrorMessage="0" allowBlank="1" errorTitle="编号" error="请从 SKU主表 已有编号中选择" type="list">
      <formula1>编号清单</formula1>
    </dataValidation>
    <dataValidation sqref="D5:E204" showDropDown="0" showInputMessage="0" showErrorMessage="0" allowBlank="1" type="list">
      <formula1>"是,否"</formula1>
    </dataValidation>
    <dataValidation sqref="G5:M204" showDropDown="0" showInputMessage="0" showErrorMessage="0" allowBlank="1" errorTitle="打分" error="请输入 1–5 的整数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1" customWidth="1" min="4" max="4"/>
    <col width="11" customWidth="1" min="5" max="5"/>
    <col width="13" customWidth="1" min="6" max="6"/>
    <col width="11" customWidth="1" min="7" max="7"/>
    <col width="15" customWidth="1" min="8" max="8"/>
    <col width="12" customWidth="1" min="9" max="9"/>
    <col width="10" customWidth="1" min="10" max="10"/>
    <col width="12" customWidth="1" min="11" max="11"/>
    <col width="12" customWidth="1" min="12" max="12"/>
    <col width="11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1" customWidth="1" min="19" max="19"/>
    <col width="9" customWidth="1" min="20" max="20"/>
    <col width="11" customWidth="1" min="21" max="21"/>
    <col width="10" customWidth="1" min="22" max="22"/>
    <col width="13" customWidth="1" min="23" max="23"/>
    <col width="17" customWidth="1" min="24" max="24"/>
    <col width="17" customWidth="1" min="25" max="25"/>
    <col width="26" customWidth="1" min="26" max="26"/>
  </cols>
  <sheetData>
    <row r="1" ht="26" customHeight="1">
      <c r="A1" s="1" t="inlineStr">
        <is>
          <t>利润计算 · 多档售价试算 + 反解红线（200 行，跨表名全单引号）</t>
        </is>
      </c>
    </row>
    <row r="2" ht="34" customHeight="1">
      <c r="A2" s="2" t="inlineStr">
        <is>
          <t>蓝色列输入（编号下拉→自动带品名/进货价/禁限售）。费率/税/汇率全引用『参数配置』。售价&lt;保本价→红(亏损)；保本≤售价&lt;达标→黄(未达目标)；禁售/需资质 SKU 状态列警示『不应进入利润表』。</t>
        </is>
      </c>
    </row>
    <row r="3" ht="42" customHeight="1">
      <c r="A3" s="26" t="inlineStr">
        <is>
          <t>编号</t>
        </is>
      </c>
      <c r="B3" s="26" t="inlineStr">
        <is>
          <t>品名</t>
        </is>
      </c>
      <c r="C3" s="26" t="inlineStr">
        <is>
          <t>禁限售</t>
        </is>
      </c>
      <c r="D3" s="26" t="inlineStr">
        <is>
          <t>进货价RMB</t>
        </is>
      </c>
      <c r="E3" s="26" t="inlineStr">
        <is>
          <t>售价MYR</t>
        </is>
      </c>
      <c r="F3" s="26" t="inlineStr">
        <is>
          <t>跨境物流MYR</t>
        </is>
      </c>
      <c r="G3" s="26" t="inlineStr">
        <is>
          <t>活动让利%</t>
        </is>
      </c>
      <c r="H3" s="26" t="inlineStr">
        <is>
          <t>类目佣金率(本品)</t>
        </is>
      </c>
      <c r="I3" s="26" t="inlineStr">
        <is>
          <t>进货成本MYR</t>
        </is>
      </c>
      <c r="J3" s="26" t="inlineStr">
        <is>
          <t>佣金</t>
        </is>
      </c>
      <c r="K3" s="26" t="inlineStr">
        <is>
          <t>交易手续费</t>
        </is>
      </c>
      <c r="L3" s="26" t="inlineStr">
        <is>
          <t>平台支持费</t>
        </is>
      </c>
      <c r="M3" s="26" t="inlineStr">
        <is>
          <t>达人佣金</t>
        </is>
      </c>
      <c r="N3" s="26" t="inlineStr">
        <is>
          <t>LVG税</t>
        </is>
      </c>
      <c r="O3" s="26" t="inlineStr">
        <is>
          <t>活动让利</t>
        </is>
      </c>
      <c r="P3" s="26" t="inlineStr">
        <is>
          <t>退款损耗</t>
        </is>
      </c>
      <c r="Q3" s="26" t="inlineStr">
        <is>
          <t>广告预留</t>
        </is>
      </c>
      <c r="R3" s="26" t="inlineStr">
        <is>
          <t>总成本MYR</t>
        </is>
      </c>
      <c r="S3" s="26" t="inlineStr">
        <is>
          <t>利润MYR</t>
        </is>
      </c>
      <c r="T3" s="26" t="inlineStr">
        <is>
          <t>利润率</t>
        </is>
      </c>
      <c r="U3" s="26" t="inlineStr">
        <is>
          <t>利润RMB</t>
        </is>
      </c>
      <c r="V3" s="26" t="inlineStr">
        <is>
          <t>贡献率m</t>
        </is>
      </c>
      <c r="W3" s="26" t="inlineStr">
        <is>
          <t>固定成本MYR</t>
        </is>
      </c>
      <c r="X3" s="26" t="inlineStr">
        <is>
          <t>保本价(红线·亏损线)</t>
        </is>
      </c>
      <c r="Y3" s="26" t="inlineStr">
        <is>
          <t>达标价(目标利润率)</t>
        </is>
      </c>
      <c r="Z3" s="26" t="inlineStr">
        <is>
          <t>状态提示</t>
        </is>
      </c>
    </row>
    <row r="4">
      <c r="A4" s="45" t="inlineStr">
        <is>
          <t>TKMY-001</t>
        </is>
      </c>
      <c r="B4" s="46">
        <f>IFERROR(VLOOKUP($A4,'SKU主表'!$A:$M,2,0),"")</f>
        <v/>
      </c>
      <c r="C4" s="47">
        <f>IFERROR(VLOOKUP($A4,'SKU主表'!$A:$M,9,0),"")</f>
        <v/>
      </c>
      <c r="D4" s="47">
        <f>IFERROR(VLOOKUP($A4,'SKU主表'!$A:$M,5,0),"")</f>
        <v/>
      </c>
      <c r="E4" s="54" t="n">
        <v>30</v>
      </c>
      <c r="F4" s="54" t="n">
        <v>4</v>
      </c>
      <c r="G4" s="55" t="n">
        <v>0.1</v>
      </c>
      <c r="H4" s="55">
        <f>'参数配置'!$D$22</f>
        <v/>
      </c>
      <c r="I4" s="56">
        <f>IF($D4="","",$D4/'参数配置'!$B$5)</f>
        <v/>
      </c>
      <c r="J4" s="56">
        <f>IF($E4="","",$E4*$H4)</f>
        <v/>
      </c>
      <c r="K4" s="56">
        <f>IF($E4="","",$E4*'参数配置'!$D$20)</f>
        <v/>
      </c>
      <c r="L4" s="56">
        <f>IF($E4="","",'参数配置'!$D$21)</f>
        <v/>
      </c>
      <c r="M4" s="56">
        <f>IF($E4="","",$E4*'参数配置'!$B$8)</f>
        <v/>
      </c>
      <c r="N4" s="56">
        <f>IF($E4="","",IF($E4&lt;='参数配置'!$B$7,$E4*'参数配置'!$B$6,0))</f>
        <v/>
      </c>
      <c r="O4" s="56">
        <f>IF($E4="","",$E4*$G4)</f>
        <v/>
      </c>
      <c r="P4" s="56">
        <f>IF($E4="","",$E4*'参数配置'!$B$10)</f>
        <v/>
      </c>
      <c r="Q4" s="56">
        <f>IF($E4="","",$E4*'参数配置'!$B$11)</f>
        <v/>
      </c>
      <c r="R4" s="56">
        <f>IF($E4="","",$I4+$F4+$J4+$K4+$L4+$M4+$N4+$O4+$P4+$Q4)</f>
        <v/>
      </c>
      <c r="S4" s="56">
        <f>IF($E4="","",$E4-$R4)</f>
        <v/>
      </c>
      <c r="T4" s="57">
        <f>IF(OR($E4="",$E4=0),"",$S4/$E4)</f>
        <v/>
      </c>
      <c r="U4" s="38">
        <f>IF($E4="","",$S4*'参数配置'!$B$5)</f>
        <v/>
      </c>
      <c r="V4" s="57">
        <f>IF($E4="","",1-$H4-'参数配置'!$D$20-'参数配置'!$B$8-$G4-'参数配置'!$B$10-'参数配置'!$B$11-IF($E4&lt;='参数配置'!$B$7,'参数配置'!$B$6,0))</f>
        <v/>
      </c>
      <c r="W4" s="56">
        <f>IF($E4="","",$I4+$F4+$L4)</f>
        <v/>
      </c>
      <c r="X4" s="56">
        <f>IF($E4="","",IF($V4&gt;0,$W4/$V4,""))</f>
        <v/>
      </c>
      <c r="Y4" s="56">
        <f>IF($E4="","",IF(($V4-'参数配置'!$B$9)&gt;0,$W4/($V4-'参数配置'!$B$9),""))</f>
        <v/>
      </c>
      <c r="Z4" s="37">
        <f>IF($E4="","",IF(OR($C4="禁售",$C4="需资质"),"⛔"&amp;$C4&amp;"·不应进入利润表",IF($V4&lt;=0,"❗贡献率≤0·任何价都亏损",IF($E4&lt;$X4,"⛔低于保本价·亏损",IF($Y4="","⚠️目标不可达·需降本",IF($E4&lt;$Y4,"⚠️低于红线·未达目标利润率","✅达目标利润率"))))))</f>
        <v/>
      </c>
    </row>
    <row r="5">
      <c r="A5" s="45" t="inlineStr">
        <is>
          <t>TKMY-001</t>
        </is>
      </c>
      <c r="B5" s="46">
        <f>IFERROR(VLOOKUP($A5,'SKU主表'!$A:$M,2,0),"")</f>
        <v/>
      </c>
      <c r="C5" s="47">
        <f>IFERROR(VLOOKUP($A5,'SKU主表'!$A:$M,9,0),"")</f>
        <v/>
      </c>
      <c r="D5" s="47">
        <f>IFERROR(VLOOKUP($A5,'SKU主表'!$A:$M,5,0),"")</f>
        <v/>
      </c>
      <c r="E5" s="54" t="n">
        <v>15</v>
      </c>
      <c r="F5" s="54" t="n">
        <v>4</v>
      </c>
      <c r="G5" s="55" t="n">
        <v>0.1</v>
      </c>
      <c r="H5" s="55">
        <f>'参数配置'!$D$22</f>
        <v/>
      </c>
      <c r="I5" s="56">
        <f>IF($D5="","",$D5/'参数配置'!$B$5)</f>
        <v/>
      </c>
      <c r="J5" s="56">
        <f>IF($E5="","",$E5*$H5)</f>
        <v/>
      </c>
      <c r="K5" s="56">
        <f>IF($E5="","",$E5*'参数配置'!$D$20)</f>
        <v/>
      </c>
      <c r="L5" s="56">
        <f>IF($E5="","",'参数配置'!$D$21)</f>
        <v/>
      </c>
      <c r="M5" s="56">
        <f>IF($E5="","",$E5*'参数配置'!$B$8)</f>
        <v/>
      </c>
      <c r="N5" s="56">
        <f>IF($E5="","",IF($E5&lt;='参数配置'!$B$7,$E5*'参数配置'!$B$6,0))</f>
        <v/>
      </c>
      <c r="O5" s="56">
        <f>IF($E5="","",$E5*$G5)</f>
        <v/>
      </c>
      <c r="P5" s="56">
        <f>IF($E5="","",$E5*'参数配置'!$B$10)</f>
        <v/>
      </c>
      <c r="Q5" s="56">
        <f>IF($E5="","",$E5*'参数配置'!$B$11)</f>
        <v/>
      </c>
      <c r="R5" s="56">
        <f>IF($E5="","",$I5+$F5+$J5+$K5+$L5+$M5+$N5+$O5+$P5+$Q5)</f>
        <v/>
      </c>
      <c r="S5" s="56">
        <f>IF($E5="","",$E5-$R5)</f>
        <v/>
      </c>
      <c r="T5" s="57">
        <f>IF(OR($E5="",$E5=0),"",$S5/$E5)</f>
        <v/>
      </c>
      <c r="U5" s="38">
        <f>IF($E5="","",$S5*'参数配置'!$B$5)</f>
        <v/>
      </c>
      <c r="V5" s="57">
        <f>IF($E5="","",1-$H5-'参数配置'!$D$20-'参数配置'!$B$8-$G5-'参数配置'!$B$10-'参数配置'!$B$11-IF($E5&lt;='参数配置'!$B$7,'参数配置'!$B$6,0))</f>
        <v/>
      </c>
      <c r="W5" s="56">
        <f>IF($E5="","",$I5+$F5+$L5)</f>
        <v/>
      </c>
      <c r="X5" s="56">
        <f>IF($E5="","",IF($V5&gt;0,$W5/$V5,""))</f>
        <v/>
      </c>
      <c r="Y5" s="56">
        <f>IF($E5="","",IF(($V5-'参数配置'!$B$9)&gt;0,$W5/($V5-'参数配置'!$B$9),""))</f>
        <v/>
      </c>
      <c r="Z5" s="37">
        <f>IF($E5="","",IF(OR($C5="禁售",$C5="需资质"),"⛔"&amp;$C5&amp;"·不应进入利润表",IF($V5&lt;=0,"❗贡献率≤0·任何价都亏损",IF($E5&lt;$X5,"⛔低于保本价·亏损",IF($Y5="","⚠️目标不可达·需降本",IF($E5&lt;$Y5,"⚠️低于红线·未达目标利润率","✅达目标利润率"))))))</f>
        <v/>
      </c>
    </row>
    <row r="6">
      <c r="A6" s="45" t="inlineStr">
        <is>
          <t>TKMY-001</t>
        </is>
      </c>
      <c r="B6" s="46">
        <f>IFERROR(VLOOKUP($A6,'SKU主表'!$A:$M,2,0),"")</f>
        <v/>
      </c>
      <c r="C6" s="47">
        <f>IFERROR(VLOOKUP($A6,'SKU主表'!$A:$M,9,0),"")</f>
        <v/>
      </c>
      <c r="D6" s="47">
        <f>IFERROR(VLOOKUP($A6,'SKU主表'!$A:$M,5,0),"")</f>
        <v/>
      </c>
      <c r="E6" s="54" t="n">
        <v>20</v>
      </c>
      <c r="F6" s="54" t="n">
        <v>4</v>
      </c>
      <c r="G6" s="55" t="n">
        <v>0.1</v>
      </c>
      <c r="H6" s="55">
        <f>'参数配置'!$D$22</f>
        <v/>
      </c>
      <c r="I6" s="56">
        <f>IF($D6="","",$D6/'参数配置'!$B$5)</f>
        <v/>
      </c>
      <c r="J6" s="56">
        <f>IF($E6="","",$E6*$H6)</f>
        <v/>
      </c>
      <c r="K6" s="56">
        <f>IF($E6="","",$E6*'参数配置'!$D$20)</f>
        <v/>
      </c>
      <c r="L6" s="56">
        <f>IF($E6="","",'参数配置'!$D$21)</f>
        <v/>
      </c>
      <c r="M6" s="56">
        <f>IF($E6="","",$E6*'参数配置'!$B$8)</f>
        <v/>
      </c>
      <c r="N6" s="56">
        <f>IF($E6="","",IF($E6&lt;='参数配置'!$B$7,$E6*'参数配置'!$B$6,0))</f>
        <v/>
      </c>
      <c r="O6" s="56">
        <f>IF($E6="","",$E6*$G6)</f>
        <v/>
      </c>
      <c r="P6" s="56">
        <f>IF($E6="","",$E6*'参数配置'!$B$10)</f>
        <v/>
      </c>
      <c r="Q6" s="56">
        <f>IF($E6="","",$E6*'参数配置'!$B$11)</f>
        <v/>
      </c>
      <c r="R6" s="56">
        <f>IF($E6="","",$I6+$F6+$J6+$K6+$L6+$M6+$N6+$O6+$P6+$Q6)</f>
        <v/>
      </c>
      <c r="S6" s="56">
        <f>IF($E6="","",$E6-$R6)</f>
        <v/>
      </c>
      <c r="T6" s="57">
        <f>IF(OR($E6="",$E6=0),"",$S6/$E6)</f>
        <v/>
      </c>
      <c r="U6" s="38">
        <f>IF($E6="","",$S6*'参数配置'!$B$5)</f>
        <v/>
      </c>
      <c r="V6" s="57">
        <f>IF($E6="","",1-$H6-'参数配置'!$D$20-'参数配置'!$B$8-$G6-'参数配置'!$B$10-'参数配置'!$B$11-IF($E6&lt;='参数配置'!$B$7,'参数配置'!$B$6,0))</f>
        <v/>
      </c>
      <c r="W6" s="56">
        <f>IF($E6="","",$I6+$F6+$L6)</f>
        <v/>
      </c>
      <c r="X6" s="56">
        <f>IF($E6="","",IF($V6&gt;0,$W6/$V6,""))</f>
        <v/>
      </c>
      <c r="Y6" s="56">
        <f>IF($E6="","",IF(($V6-'参数配置'!$B$9)&gt;0,$W6/($V6-'参数配置'!$B$9),""))</f>
        <v/>
      </c>
      <c r="Z6" s="37">
        <f>IF($E6="","",IF(OR($C6="禁售",$C6="需资质"),"⛔"&amp;$C6&amp;"·不应进入利润表",IF($V6&lt;=0,"❗贡献率≤0·任何价都亏损",IF($E6&lt;$X6,"⛔低于保本价·亏损",IF($Y6="","⚠️目标不可达·需降本",IF($E6&lt;$Y6,"⚠️低于红线·未达目标利润率","✅达目标利润率"))))))</f>
        <v/>
      </c>
    </row>
    <row r="7">
      <c r="A7" s="45" t="inlineStr">
        <is>
          <t>TKMY-002</t>
        </is>
      </c>
      <c r="B7" s="46">
        <f>IFERROR(VLOOKUP($A7,'SKU主表'!$A:$M,2,0),"")</f>
        <v/>
      </c>
      <c r="C7" s="47">
        <f>IFERROR(VLOOKUP($A7,'SKU主表'!$A:$M,9,0),"")</f>
        <v/>
      </c>
      <c r="D7" s="47">
        <f>IFERROR(VLOOKUP($A7,'SKU主表'!$A:$M,5,0),"")</f>
        <v/>
      </c>
      <c r="E7" s="54" t="n">
        <v>35</v>
      </c>
      <c r="F7" s="54" t="n">
        <v>6</v>
      </c>
      <c r="G7" s="55" t="n">
        <v>0.1</v>
      </c>
      <c r="H7" s="55">
        <f>'参数配置'!$D$22</f>
        <v/>
      </c>
      <c r="I7" s="56">
        <f>IF($D7="","",$D7/'参数配置'!$B$5)</f>
        <v/>
      </c>
      <c r="J7" s="56">
        <f>IF($E7="","",$E7*$H7)</f>
        <v/>
      </c>
      <c r="K7" s="56">
        <f>IF($E7="","",$E7*'参数配置'!$D$20)</f>
        <v/>
      </c>
      <c r="L7" s="56">
        <f>IF($E7="","",'参数配置'!$D$21)</f>
        <v/>
      </c>
      <c r="M7" s="56">
        <f>IF($E7="","",$E7*'参数配置'!$B$8)</f>
        <v/>
      </c>
      <c r="N7" s="56">
        <f>IF($E7="","",IF($E7&lt;='参数配置'!$B$7,$E7*'参数配置'!$B$6,0))</f>
        <v/>
      </c>
      <c r="O7" s="56">
        <f>IF($E7="","",$E7*$G7)</f>
        <v/>
      </c>
      <c r="P7" s="56">
        <f>IF($E7="","",$E7*'参数配置'!$B$10)</f>
        <v/>
      </c>
      <c r="Q7" s="56">
        <f>IF($E7="","",$E7*'参数配置'!$B$11)</f>
        <v/>
      </c>
      <c r="R7" s="56">
        <f>IF($E7="","",$I7+$F7+$J7+$K7+$L7+$M7+$N7+$O7+$P7+$Q7)</f>
        <v/>
      </c>
      <c r="S7" s="56">
        <f>IF($E7="","",$E7-$R7)</f>
        <v/>
      </c>
      <c r="T7" s="57">
        <f>IF(OR($E7="",$E7=0),"",$S7/$E7)</f>
        <v/>
      </c>
      <c r="U7" s="38">
        <f>IF($E7="","",$S7*'参数配置'!$B$5)</f>
        <v/>
      </c>
      <c r="V7" s="57">
        <f>IF($E7="","",1-$H7-'参数配置'!$D$20-'参数配置'!$B$8-$G7-'参数配置'!$B$10-'参数配置'!$B$11-IF($E7&lt;='参数配置'!$B$7,'参数配置'!$B$6,0))</f>
        <v/>
      </c>
      <c r="W7" s="56">
        <f>IF($E7="","",$I7+$F7+$L7)</f>
        <v/>
      </c>
      <c r="X7" s="56">
        <f>IF($E7="","",IF($V7&gt;0,$W7/$V7,""))</f>
        <v/>
      </c>
      <c r="Y7" s="56">
        <f>IF($E7="","",IF(($V7-'参数配置'!$B$9)&gt;0,$W7/($V7-'参数配置'!$B$9),""))</f>
        <v/>
      </c>
      <c r="Z7" s="37">
        <f>IF($E7="","",IF(OR($C7="禁售",$C7="需资质"),"⛔"&amp;$C7&amp;"·不应进入利润表",IF($V7&lt;=0,"❗贡献率≤0·任何价都亏损",IF($E7&lt;$X7,"⛔低于保本价·亏损",IF($Y7="","⚠️目标不可达·需降本",IF($E7&lt;$Y7,"⚠️低于红线·未达目标利润率","✅达目标利润率"))))))</f>
        <v/>
      </c>
    </row>
    <row r="8">
      <c r="A8" s="45" t="inlineStr">
        <is>
          <t>TKMY-003</t>
        </is>
      </c>
      <c r="B8" s="46">
        <f>IFERROR(VLOOKUP($A8,'SKU主表'!$A:$M,2,0),"")</f>
        <v/>
      </c>
      <c r="C8" s="47">
        <f>IFERROR(VLOOKUP($A8,'SKU主表'!$A:$M,9,0),"")</f>
        <v/>
      </c>
      <c r="D8" s="47">
        <f>IFERROR(VLOOKUP($A8,'SKU主表'!$A:$M,5,0),"")</f>
        <v/>
      </c>
      <c r="E8" s="54" t="n">
        <v>30</v>
      </c>
      <c r="F8" s="54" t="n">
        <v>5</v>
      </c>
      <c r="G8" s="55" t="n">
        <v>0.1</v>
      </c>
      <c r="H8" s="55">
        <f>'参数配置'!$D$22</f>
        <v/>
      </c>
      <c r="I8" s="56">
        <f>IF($D8="","",$D8/'参数配置'!$B$5)</f>
        <v/>
      </c>
      <c r="J8" s="56">
        <f>IF($E8="","",$E8*$H8)</f>
        <v/>
      </c>
      <c r="K8" s="56">
        <f>IF($E8="","",$E8*'参数配置'!$D$20)</f>
        <v/>
      </c>
      <c r="L8" s="56">
        <f>IF($E8="","",'参数配置'!$D$21)</f>
        <v/>
      </c>
      <c r="M8" s="56">
        <f>IF($E8="","",$E8*'参数配置'!$B$8)</f>
        <v/>
      </c>
      <c r="N8" s="56">
        <f>IF($E8="","",IF($E8&lt;='参数配置'!$B$7,$E8*'参数配置'!$B$6,0))</f>
        <v/>
      </c>
      <c r="O8" s="56">
        <f>IF($E8="","",$E8*$G8)</f>
        <v/>
      </c>
      <c r="P8" s="56">
        <f>IF($E8="","",$E8*'参数配置'!$B$10)</f>
        <v/>
      </c>
      <c r="Q8" s="56">
        <f>IF($E8="","",$E8*'参数配置'!$B$11)</f>
        <v/>
      </c>
      <c r="R8" s="56">
        <f>IF($E8="","",$I8+$F8+$J8+$K8+$L8+$M8+$N8+$O8+$P8+$Q8)</f>
        <v/>
      </c>
      <c r="S8" s="56">
        <f>IF($E8="","",$E8-$R8)</f>
        <v/>
      </c>
      <c r="T8" s="57">
        <f>IF(OR($E8="",$E8=0),"",$S8/$E8)</f>
        <v/>
      </c>
      <c r="U8" s="38">
        <f>IF($E8="","",$S8*'参数配置'!$B$5)</f>
        <v/>
      </c>
      <c r="V8" s="57">
        <f>IF($E8="","",1-$H8-'参数配置'!$D$20-'参数配置'!$B$8-$G8-'参数配置'!$B$10-'参数配置'!$B$11-IF($E8&lt;='参数配置'!$B$7,'参数配置'!$B$6,0))</f>
        <v/>
      </c>
      <c r="W8" s="56">
        <f>IF($E8="","",$I8+$F8+$L8)</f>
        <v/>
      </c>
      <c r="X8" s="56">
        <f>IF($E8="","",IF($V8&gt;0,$W8/$V8,""))</f>
        <v/>
      </c>
      <c r="Y8" s="56">
        <f>IF($E8="","",IF(($V8-'参数配置'!$B$9)&gt;0,$W8/($V8-'参数配置'!$B$9),""))</f>
        <v/>
      </c>
      <c r="Z8" s="37">
        <f>IF($E8="","",IF(OR($C8="禁售",$C8="需资质"),"⛔"&amp;$C8&amp;"·不应进入利润表",IF($V8&lt;=0,"❗贡献率≤0·任何价都亏损",IF($E8&lt;$X8,"⛔低于保本价·亏损",IF($Y8="","⚠️目标不可达·需降本",IF($E8&lt;$Y8,"⚠️低于红线·未达目标利润率","✅达目标利润率"))))))</f>
        <v/>
      </c>
    </row>
    <row r="9">
      <c r="A9" s="52" t="n"/>
      <c r="B9" s="46">
        <f>IFERROR(VLOOKUP($A9,'SKU主表'!$A:$M,2,0),"")</f>
        <v/>
      </c>
      <c r="C9" s="47">
        <f>IFERROR(VLOOKUP($A9,'SKU主表'!$A:$M,9,0),"")</f>
        <v/>
      </c>
      <c r="D9" s="47">
        <f>IFERROR(VLOOKUP($A9,'SKU主表'!$A:$M,5,0),"")</f>
        <v/>
      </c>
      <c r="E9" s="58" t="n"/>
      <c r="F9" s="58" t="n"/>
      <c r="G9" s="59" t="n"/>
      <c r="H9" s="59">
        <f>'参数配置'!$D$22</f>
        <v/>
      </c>
      <c r="I9" s="56">
        <f>IF($D9="","",$D9/'参数配置'!$B$5)</f>
        <v/>
      </c>
      <c r="J9" s="56">
        <f>IF($E9="","",$E9*$H9)</f>
        <v/>
      </c>
      <c r="K9" s="56">
        <f>IF($E9="","",$E9*'参数配置'!$D$20)</f>
        <v/>
      </c>
      <c r="L9" s="56">
        <f>IF($E9="","",'参数配置'!$D$21)</f>
        <v/>
      </c>
      <c r="M9" s="56">
        <f>IF($E9="","",$E9*'参数配置'!$B$8)</f>
        <v/>
      </c>
      <c r="N9" s="56">
        <f>IF($E9="","",IF($E9&lt;='参数配置'!$B$7,$E9*'参数配置'!$B$6,0))</f>
        <v/>
      </c>
      <c r="O9" s="56">
        <f>IF($E9="","",$E9*$G9)</f>
        <v/>
      </c>
      <c r="P9" s="56">
        <f>IF($E9="","",$E9*'参数配置'!$B$10)</f>
        <v/>
      </c>
      <c r="Q9" s="56">
        <f>IF($E9="","",$E9*'参数配置'!$B$11)</f>
        <v/>
      </c>
      <c r="R9" s="56">
        <f>IF($E9="","",$I9+$F9+$J9+$K9+$L9+$M9+$N9+$O9+$P9+$Q9)</f>
        <v/>
      </c>
      <c r="S9" s="56">
        <f>IF($E9="","",$E9-$R9)</f>
        <v/>
      </c>
      <c r="T9" s="57">
        <f>IF(OR($E9="",$E9=0),"",$S9/$E9)</f>
        <v/>
      </c>
      <c r="U9" s="38">
        <f>IF($E9="","",$S9*'参数配置'!$B$5)</f>
        <v/>
      </c>
      <c r="V9" s="57">
        <f>IF($E9="","",1-$H9-'参数配置'!$D$20-'参数配置'!$B$8-$G9-'参数配置'!$B$10-'参数配置'!$B$11-IF($E9&lt;='参数配置'!$B$7,'参数配置'!$B$6,0))</f>
        <v/>
      </c>
      <c r="W9" s="56">
        <f>IF($E9="","",$I9+$F9+$L9)</f>
        <v/>
      </c>
      <c r="X9" s="56">
        <f>IF($E9="","",IF($V9&gt;0,$W9/$V9,""))</f>
        <v/>
      </c>
      <c r="Y9" s="56">
        <f>IF($E9="","",IF(($V9-'参数配置'!$B$9)&gt;0,$W9/($V9-'参数配置'!$B$9),""))</f>
        <v/>
      </c>
      <c r="Z9" s="37">
        <f>IF($E9="","",IF(OR($C9="禁售",$C9="需资质"),"⛔"&amp;$C9&amp;"·不应进入利润表",IF($V9&lt;=0,"❗贡献率≤0·任何价都亏损",IF($E9&lt;$X9,"⛔低于保本价·亏损",IF($Y9="","⚠️目标不可达·需降本",IF($E9&lt;$Y9,"⚠️低于红线·未达目标利润率","✅达目标利润率"))))))</f>
        <v/>
      </c>
    </row>
    <row r="10">
      <c r="A10" s="52" t="n"/>
      <c r="B10" s="46">
        <f>IFERROR(VLOOKUP($A10,'SKU主表'!$A:$M,2,0),"")</f>
        <v/>
      </c>
      <c r="C10" s="47">
        <f>IFERROR(VLOOKUP($A10,'SKU主表'!$A:$M,9,0),"")</f>
        <v/>
      </c>
      <c r="D10" s="47">
        <f>IFERROR(VLOOKUP($A10,'SKU主表'!$A:$M,5,0),"")</f>
        <v/>
      </c>
      <c r="E10" s="58" t="n"/>
      <c r="F10" s="58" t="n"/>
      <c r="G10" s="59" t="n"/>
      <c r="H10" s="59">
        <f>'参数配置'!$D$22</f>
        <v/>
      </c>
      <c r="I10" s="56">
        <f>IF($D10="","",$D10/'参数配置'!$B$5)</f>
        <v/>
      </c>
      <c r="J10" s="56">
        <f>IF($E10="","",$E10*$H10)</f>
        <v/>
      </c>
      <c r="K10" s="56">
        <f>IF($E10="","",$E10*'参数配置'!$D$20)</f>
        <v/>
      </c>
      <c r="L10" s="56">
        <f>IF($E10="","",'参数配置'!$D$21)</f>
        <v/>
      </c>
      <c r="M10" s="56">
        <f>IF($E10="","",$E10*'参数配置'!$B$8)</f>
        <v/>
      </c>
      <c r="N10" s="56">
        <f>IF($E10="","",IF($E10&lt;='参数配置'!$B$7,$E10*'参数配置'!$B$6,0))</f>
        <v/>
      </c>
      <c r="O10" s="56">
        <f>IF($E10="","",$E10*$G10)</f>
        <v/>
      </c>
      <c r="P10" s="56">
        <f>IF($E10="","",$E10*'参数配置'!$B$10)</f>
        <v/>
      </c>
      <c r="Q10" s="56">
        <f>IF($E10="","",$E10*'参数配置'!$B$11)</f>
        <v/>
      </c>
      <c r="R10" s="56">
        <f>IF($E10="","",$I10+$F10+$J10+$K10+$L10+$M10+$N10+$O10+$P10+$Q10)</f>
        <v/>
      </c>
      <c r="S10" s="56">
        <f>IF($E10="","",$E10-$R10)</f>
        <v/>
      </c>
      <c r="T10" s="57">
        <f>IF(OR($E10="",$E10=0),"",$S10/$E10)</f>
        <v/>
      </c>
      <c r="U10" s="38">
        <f>IF($E10="","",$S10*'参数配置'!$B$5)</f>
        <v/>
      </c>
      <c r="V10" s="57">
        <f>IF($E10="","",1-$H10-'参数配置'!$D$20-'参数配置'!$B$8-$G10-'参数配置'!$B$10-'参数配置'!$B$11-IF($E10&lt;='参数配置'!$B$7,'参数配置'!$B$6,0))</f>
        <v/>
      </c>
      <c r="W10" s="56">
        <f>IF($E10="","",$I10+$F10+$L10)</f>
        <v/>
      </c>
      <c r="X10" s="56">
        <f>IF($E10="","",IF($V10&gt;0,$W10/$V10,""))</f>
        <v/>
      </c>
      <c r="Y10" s="56">
        <f>IF($E10="","",IF(($V10-'参数配置'!$B$9)&gt;0,$W10/($V10-'参数配置'!$B$9),""))</f>
        <v/>
      </c>
      <c r="Z10" s="37">
        <f>IF($E10="","",IF(OR($C10="禁售",$C10="需资质"),"⛔"&amp;$C10&amp;"·不应进入利润表",IF($V10&lt;=0,"❗贡献率≤0·任何价都亏损",IF($E10&lt;$X10,"⛔低于保本价·亏损",IF($Y10="","⚠️目标不可达·需降本",IF($E10&lt;$Y10,"⚠️低于红线·未达目标利润率","✅达目标利润率"))))))</f>
        <v/>
      </c>
    </row>
    <row r="11">
      <c r="A11" s="52" t="n"/>
      <c r="B11" s="46">
        <f>IFERROR(VLOOKUP($A11,'SKU主表'!$A:$M,2,0),"")</f>
        <v/>
      </c>
      <c r="C11" s="47">
        <f>IFERROR(VLOOKUP($A11,'SKU主表'!$A:$M,9,0),"")</f>
        <v/>
      </c>
      <c r="D11" s="47">
        <f>IFERROR(VLOOKUP($A11,'SKU主表'!$A:$M,5,0),"")</f>
        <v/>
      </c>
      <c r="E11" s="58" t="n"/>
      <c r="F11" s="58" t="n"/>
      <c r="G11" s="59" t="n"/>
      <c r="H11" s="59">
        <f>'参数配置'!$D$22</f>
        <v/>
      </c>
      <c r="I11" s="56">
        <f>IF($D11="","",$D11/'参数配置'!$B$5)</f>
        <v/>
      </c>
      <c r="J11" s="56">
        <f>IF($E11="","",$E11*$H11)</f>
        <v/>
      </c>
      <c r="K11" s="56">
        <f>IF($E11="","",$E11*'参数配置'!$D$20)</f>
        <v/>
      </c>
      <c r="L11" s="56">
        <f>IF($E11="","",'参数配置'!$D$21)</f>
        <v/>
      </c>
      <c r="M11" s="56">
        <f>IF($E11="","",$E11*'参数配置'!$B$8)</f>
        <v/>
      </c>
      <c r="N11" s="56">
        <f>IF($E11="","",IF($E11&lt;='参数配置'!$B$7,$E11*'参数配置'!$B$6,0))</f>
        <v/>
      </c>
      <c r="O11" s="56">
        <f>IF($E11="","",$E11*$G11)</f>
        <v/>
      </c>
      <c r="P11" s="56">
        <f>IF($E11="","",$E11*'参数配置'!$B$10)</f>
        <v/>
      </c>
      <c r="Q11" s="56">
        <f>IF($E11="","",$E11*'参数配置'!$B$11)</f>
        <v/>
      </c>
      <c r="R11" s="56">
        <f>IF($E11="","",$I11+$F11+$J11+$K11+$L11+$M11+$N11+$O11+$P11+$Q11)</f>
        <v/>
      </c>
      <c r="S11" s="56">
        <f>IF($E11="","",$E11-$R11)</f>
        <v/>
      </c>
      <c r="T11" s="57">
        <f>IF(OR($E11="",$E11=0),"",$S11/$E11)</f>
        <v/>
      </c>
      <c r="U11" s="38">
        <f>IF($E11="","",$S11*'参数配置'!$B$5)</f>
        <v/>
      </c>
      <c r="V11" s="57">
        <f>IF($E11="","",1-$H11-'参数配置'!$D$20-'参数配置'!$B$8-$G11-'参数配置'!$B$10-'参数配置'!$B$11-IF($E11&lt;='参数配置'!$B$7,'参数配置'!$B$6,0))</f>
        <v/>
      </c>
      <c r="W11" s="56">
        <f>IF($E11="","",$I11+$F11+$L11)</f>
        <v/>
      </c>
      <c r="X11" s="56">
        <f>IF($E11="","",IF($V11&gt;0,$W11/$V11,""))</f>
        <v/>
      </c>
      <c r="Y11" s="56">
        <f>IF($E11="","",IF(($V11-'参数配置'!$B$9)&gt;0,$W11/($V11-'参数配置'!$B$9),""))</f>
        <v/>
      </c>
      <c r="Z11" s="37">
        <f>IF($E11="","",IF(OR($C11="禁售",$C11="需资质"),"⛔"&amp;$C11&amp;"·不应进入利润表",IF($V11&lt;=0,"❗贡献率≤0·任何价都亏损",IF($E11&lt;$X11,"⛔低于保本价·亏损",IF($Y11="","⚠️目标不可达·需降本",IF($E11&lt;$Y11,"⚠️低于红线·未达目标利润率","✅达目标利润率"))))))</f>
        <v/>
      </c>
    </row>
    <row r="12">
      <c r="A12" s="52" t="n"/>
      <c r="B12" s="46">
        <f>IFERROR(VLOOKUP($A12,'SKU主表'!$A:$M,2,0),"")</f>
        <v/>
      </c>
      <c r="C12" s="47">
        <f>IFERROR(VLOOKUP($A12,'SKU主表'!$A:$M,9,0),"")</f>
        <v/>
      </c>
      <c r="D12" s="47">
        <f>IFERROR(VLOOKUP($A12,'SKU主表'!$A:$M,5,0),"")</f>
        <v/>
      </c>
      <c r="E12" s="58" t="n"/>
      <c r="F12" s="58" t="n"/>
      <c r="G12" s="59" t="n"/>
      <c r="H12" s="59">
        <f>'参数配置'!$D$22</f>
        <v/>
      </c>
      <c r="I12" s="56">
        <f>IF($D12="","",$D12/'参数配置'!$B$5)</f>
        <v/>
      </c>
      <c r="J12" s="56">
        <f>IF($E12="","",$E12*$H12)</f>
        <v/>
      </c>
      <c r="K12" s="56">
        <f>IF($E12="","",$E12*'参数配置'!$D$20)</f>
        <v/>
      </c>
      <c r="L12" s="56">
        <f>IF($E12="","",'参数配置'!$D$21)</f>
        <v/>
      </c>
      <c r="M12" s="56">
        <f>IF($E12="","",$E12*'参数配置'!$B$8)</f>
        <v/>
      </c>
      <c r="N12" s="56">
        <f>IF($E12="","",IF($E12&lt;='参数配置'!$B$7,$E12*'参数配置'!$B$6,0))</f>
        <v/>
      </c>
      <c r="O12" s="56">
        <f>IF($E12="","",$E12*$G12)</f>
        <v/>
      </c>
      <c r="P12" s="56">
        <f>IF($E12="","",$E12*'参数配置'!$B$10)</f>
        <v/>
      </c>
      <c r="Q12" s="56">
        <f>IF($E12="","",$E12*'参数配置'!$B$11)</f>
        <v/>
      </c>
      <c r="R12" s="56">
        <f>IF($E12="","",$I12+$F12+$J12+$K12+$L12+$M12+$N12+$O12+$P12+$Q12)</f>
        <v/>
      </c>
      <c r="S12" s="56">
        <f>IF($E12="","",$E12-$R12)</f>
        <v/>
      </c>
      <c r="T12" s="57">
        <f>IF(OR($E12="",$E12=0),"",$S12/$E12)</f>
        <v/>
      </c>
      <c r="U12" s="38">
        <f>IF($E12="","",$S12*'参数配置'!$B$5)</f>
        <v/>
      </c>
      <c r="V12" s="57">
        <f>IF($E12="","",1-$H12-'参数配置'!$D$20-'参数配置'!$B$8-$G12-'参数配置'!$B$10-'参数配置'!$B$11-IF($E12&lt;='参数配置'!$B$7,'参数配置'!$B$6,0))</f>
        <v/>
      </c>
      <c r="W12" s="56">
        <f>IF($E12="","",$I12+$F12+$L12)</f>
        <v/>
      </c>
      <c r="X12" s="56">
        <f>IF($E12="","",IF($V12&gt;0,$W12/$V12,""))</f>
        <v/>
      </c>
      <c r="Y12" s="56">
        <f>IF($E12="","",IF(($V12-'参数配置'!$B$9)&gt;0,$W12/($V12-'参数配置'!$B$9),""))</f>
        <v/>
      </c>
      <c r="Z12" s="37">
        <f>IF($E12="","",IF(OR($C12="禁售",$C12="需资质"),"⛔"&amp;$C12&amp;"·不应进入利润表",IF($V12&lt;=0,"❗贡献率≤0·任何价都亏损",IF($E12&lt;$X12,"⛔低于保本价·亏损",IF($Y12="","⚠️目标不可达·需降本",IF($E12&lt;$Y12,"⚠️低于红线·未达目标利润率","✅达目标利润率"))))))</f>
        <v/>
      </c>
    </row>
    <row r="13">
      <c r="A13" s="52" t="n"/>
      <c r="B13" s="46">
        <f>IFERROR(VLOOKUP($A13,'SKU主表'!$A:$M,2,0),"")</f>
        <v/>
      </c>
      <c r="C13" s="47">
        <f>IFERROR(VLOOKUP($A13,'SKU主表'!$A:$M,9,0),"")</f>
        <v/>
      </c>
      <c r="D13" s="47">
        <f>IFERROR(VLOOKUP($A13,'SKU主表'!$A:$M,5,0),"")</f>
        <v/>
      </c>
      <c r="E13" s="58" t="n"/>
      <c r="F13" s="58" t="n"/>
      <c r="G13" s="59" t="n"/>
      <c r="H13" s="59">
        <f>'参数配置'!$D$22</f>
        <v/>
      </c>
      <c r="I13" s="56">
        <f>IF($D13="","",$D13/'参数配置'!$B$5)</f>
        <v/>
      </c>
      <c r="J13" s="56">
        <f>IF($E13="","",$E13*$H13)</f>
        <v/>
      </c>
      <c r="K13" s="56">
        <f>IF($E13="","",$E13*'参数配置'!$D$20)</f>
        <v/>
      </c>
      <c r="L13" s="56">
        <f>IF($E13="","",'参数配置'!$D$21)</f>
        <v/>
      </c>
      <c r="M13" s="56">
        <f>IF($E13="","",$E13*'参数配置'!$B$8)</f>
        <v/>
      </c>
      <c r="N13" s="56">
        <f>IF($E13="","",IF($E13&lt;='参数配置'!$B$7,$E13*'参数配置'!$B$6,0))</f>
        <v/>
      </c>
      <c r="O13" s="56">
        <f>IF($E13="","",$E13*$G13)</f>
        <v/>
      </c>
      <c r="P13" s="56">
        <f>IF($E13="","",$E13*'参数配置'!$B$10)</f>
        <v/>
      </c>
      <c r="Q13" s="56">
        <f>IF($E13="","",$E13*'参数配置'!$B$11)</f>
        <v/>
      </c>
      <c r="R13" s="56">
        <f>IF($E13="","",$I13+$F13+$J13+$K13+$L13+$M13+$N13+$O13+$P13+$Q13)</f>
        <v/>
      </c>
      <c r="S13" s="56">
        <f>IF($E13="","",$E13-$R13)</f>
        <v/>
      </c>
      <c r="T13" s="57">
        <f>IF(OR($E13="",$E13=0),"",$S13/$E13)</f>
        <v/>
      </c>
      <c r="U13" s="38">
        <f>IF($E13="","",$S13*'参数配置'!$B$5)</f>
        <v/>
      </c>
      <c r="V13" s="57">
        <f>IF($E13="","",1-$H13-'参数配置'!$D$20-'参数配置'!$B$8-$G13-'参数配置'!$B$10-'参数配置'!$B$11-IF($E13&lt;='参数配置'!$B$7,'参数配置'!$B$6,0))</f>
        <v/>
      </c>
      <c r="W13" s="56">
        <f>IF($E13="","",$I13+$F13+$L13)</f>
        <v/>
      </c>
      <c r="X13" s="56">
        <f>IF($E13="","",IF($V13&gt;0,$W13/$V13,""))</f>
        <v/>
      </c>
      <c r="Y13" s="56">
        <f>IF($E13="","",IF(($V13-'参数配置'!$B$9)&gt;0,$W13/($V13-'参数配置'!$B$9),""))</f>
        <v/>
      </c>
      <c r="Z13" s="37">
        <f>IF($E13="","",IF(OR($C13="禁售",$C13="需资质"),"⛔"&amp;$C13&amp;"·不应进入利润表",IF($V13&lt;=0,"❗贡献率≤0·任何价都亏损",IF($E13&lt;$X13,"⛔低于保本价·亏损",IF($Y13="","⚠️目标不可达·需降本",IF($E13&lt;$Y13,"⚠️低于红线·未达目标利润率","✅达目标利润率"))))))</f>
        <v/>
      </c>
    </row>
    <row r="14">
      <c r="A14" s="52" t="n"/>
      <c r="B14" s="46">
        <f>IFERROR(VLOOKUP($A14,'SKU主表'!$A:$M,2,0),"")</f>
        <v/>
      </c>
      <c r="C14" s="47">
        <f>IFERROR(VLOOKUP($A14,'SKU主表'!$A:$M,9,0),"")</f>
        <v/>
      </c>
      <c r="D14" s="47">
        <f>IFERROR(VLOOKUP($A14,'SKU主表'!$A:$M,5,0),"")</f>
        <v/>
      </c>
      <c r="E14" s="58" t="n"/>
      <c r="F14" s="58" t="n"/>
      <c r="G14" s="59" t="n"/>
      <c r="H14" s="59">
        <f>'参数配置'!$D$22</f>
        <v/>
      </c>
      <c r="I14" s="56">
        <f>IF($D14="","",$D14/'参数配置'!$B$5)</f>
        <v/>
      </c>
      <c r="J14" s="56">
        <f>IF($E14="","",$E14*$H14)</f>
        <v/>
      </c>
      <c r="K14" s="56">
        <f>IF($E14="","",$E14*'参数配置'!$D$20)</f>
        <v/>
      </c>
      <c r="L14" s="56">
        <f>IF($E14="","",'参数配置'!$D$21)</f>
        <v/>
      </c>
      <c r="M14" s="56">
        <f>IF($E14="","",$E14*'参数配置'!$B$8)</f>
        <v/>
      </c>
      <c r="N14" s="56">
        <f>IF($E14="","",IF($E14&lt;='参数配置'!$B$7,$E14*'参数配置'!$B$6,0))</f>
        <v/>
      </c>
      <c r="O14" s="56">
        <f>IF($E14="","",$E14*$G14)</f>
        <v/>
      </c>
      <c r="P14" s="56">
        <f>IF($E14="","",$E14*'参数配置'!$B$10)</f>
        <v/>
      </c>
      <c r="Q14" s="56">
        <f>IF($E14="","",$E14*'参数配置'!$B$11)</f>
        <v/>
      </c>
      <c r="R14" s="56">
        <f>IF($E14="","",$I14+$F14+$J14+$K14+$L14+$M14+$N14+$O14+$P14+$Q14)</f>
        <v/>
      </c>
      <c r="S14" s="56">
        <f>IF($E14="","",$E14-$R14)</f>
        <v/>
      </c>
      <c r="T14" s="57">
        <f>IF(OR($E14="",$E14=0),"",$S14/$E14)</f>
        <v/>
      </c>
      <c r="U14" s="38">
        <f>IF($E14="","",$S14*'参数配置'!$B$5)</f>
        <v/>
      </c>
      <c r="V14" s="57">
        <f>IF($E14="","",1-$H14-'参数配置'!$D$20-'参数配置'!$B$8-$G14-'参数配置'!$B$10-'参数配置'!$B$11-IF($E14&lt;='参数配置'!$B$7,'参数配置'!$B$6,0))</f>
        <v/>
      </c>
      <c r="W14" s="56">
        <f>IF($E14="","",$I14+$F14+$L14)</f>
        <v/>
      </c>
      <c r="X14" s="56">
        <f>IF($E14="","",IF($V14&gt;0,$W14/$V14,""))</f>
        <v/>
      </c>
      <c r="Y14" s="56">
        <f>IF($E14="","",IF(($V14-'参数配置'!$B$9)&gt;0,$W14/($V14-'参数配置'!$B$9),""))</f>
        <v/>
      </c>
      <c r="Z14" s="37">
        <f>IF($E14="","",IF(OR($C14="禁售",$C14="需资质"),"⛔"&amp;$C14&amp;"·不应进入利润表",IF($V14&lt;=0,"❗贡献率≤0·任何价都亏损",IF($E14&lt;$X14,"⛔低于保本价·亏损",IF($Y14="","⚠️目标不可达·需降本",IF($E14&lt;$Y14,"⚠️低于红线·未达目标利润率","✅达目标利润率"))))))</f>
        <v/>
      </c>
    </row>
    <row r="15">
      <c r="A15" s="52" t="n"/>
      <c r="B15" s="46">
        <f>IFERROR(VLOOKUP($A15,'SKU主表'!$A:$M,2,0),"")</f>
        <v/>
      </c>
      <c r="C15" s="47">
        <f>IFERROR(VLOOKUP($A15,'SKU主表'!$A:$M,9,0),"")</f>
        <v/>
      </c>
      <c r="D15" s="47">
        <f>IFERROR(VLOOKUP($A15,'SKU主表'!$A:$M,5,0),"")</f>
        <v/>
      </c>
      <c r="E15" s="58" t="n"/>
      <c r="F15" s="58" t="n"/>
      <c r="G15" s="59" t="n"/>
      <c r="H15" s="59">
        <f>'参数配置'!$D$22</f>
        <v/>
      </c>
      <c r="I15" s="56">
        <f>IF($D15="","",$D15/'参数配置'!$B$5)</f>
        <v/>
      </c>
      <c r="J15" s="56">
        <f>IF($E15="","",$E15*$H15)</f>
        <v/>
      </c>
      <c r="K15" s="56">
        <f>IF($E15="","",$E15*'参数配置'!$D$20)</f>
        <v/>
      </c>
      <c r="L15" s="56">
        <f>IF($E15="","",'参数配置'!$D$21)</f>
        <v/>
      </c>
      <c r="M15" s="56">
        <f>IF($E15="","",$E15*'参数配置'!$B$8)</f>
        <v/>
      </c>
      <c r="N15" s="56">
        <f>IF($E15="","",IF($E15&lt;='参数配置'!$B$7,$E15*'参数配置'!$B$6,0))</f>
        <v/>
      </c>
      <c r="O15" s="56">
        <f>IF($E15="","",$E15*$G15)</f>
        <v/>
      </c>
      <c r="P15" s="56">
        <f>IF($E15="","",$E15*'参数配置'!$B$10)</f>
        <v/>
      </c>
      <c r="Q15" s="56">
        <f>IF($E15="","",$E15*'参数配置'!$B$11)</f>
        <v/>
      </c>
      <c r="R15" s="56">
        <f>IF($E15="","",$I15+$F15+$J15+$K15+$L15+$M15+$N15+$O15+$P15+$Q15)</f>
        <v/>
      </c>
      <c r="S15" s="56">
        <f>IF($E15="","",$E15-$R15)</f>
        <v/>
      </c>
      <c r="T15" s="57">
        <f>IF(OR($E15="",$E15=0),"",$S15/$E15)</f>
        <v/>
      </c>
      <c r="U15" s="38">
        <f>IF($E15="","",$S15*'参数配置'!$B$5)</f>
        <v/>
      </c>
      <c r="V15" s="57">
        <f>IF($E15="","",1-$H15-'参数配置'!$D$20-'参数配置'!$B$8-$G15-'参数配置'!$B$10-'参数配置'!$B$11-IF($E15&lt;='参数配置'!$B$7,'参数配置'!$B$6,0))</f>
        <v/>
      </c>
      <c r="W15" s="56">
        <f>IF($E15="","",$I15+$F15+$L15)</f>
        <v/>
      </c>
      <c r="X15" s="56">
        <f>IF($E15="","",IF($V15&gt;0,$W15/$V15,""))</f>
        <v/>
      </c>
      <c r="Y15" s="56">
        <f>IF($E15="","",IF(($V15-'参数配置'!$B$9)&gt;0,$W15/($V15-'参数配置'!$B$9),""))</f>
        <v/>
      </c>
      <c r="Z15" s="37">
        <f>IF($E15="","",IF(OR($C15="禁售",$C15="需资质"),"⛔"&amp;$C15&amp;"·不应进入利润表",IF($V15&lt;=0,"❗贡献率≤0·任何价都亏损",IF($E15&lt;$X15,"⛔低于保本价·亏损",IF($Y15="","⚠️目标不可达·需降本",IF($E15&lt;$Y15,"⚠️低于红线·未达目标利润率","✅达目标利润率"))))))</f>
        <v/>
      </c>
    </row>
    <row r="16">
      <c r="A16" s="52" t="n"/>
      <c r="B16" s="46">
        <f>IFERROR(VLOOKUP($A16,'SKU主表'!$A:$M,2,0),"")</f>
        <v/>
      </c>
      <c r="C16" s="47">
        <f>IFERROR(VLOOKUP($A16,'SKU主表'!$A:$M,9,0),"")</f>
        <v/>
      </c>
      <c r="D16" s="47">
        <f>IFERROR(VLOOKUP($A16,'SKU主表'!$A:$M,5,0),"")</f>
        <v/>
      </c>
      <c r="E16" s="58" t="n"/>
      <c r="F16" s="58" t="n"/>
      <c r="G16" s="59" t="n"/>
      <c r="H16" s="59">
        <f>'参数配置'!$D$22</f>
        <v/>
      </c>
      <c r="I16" s="56">
        <f>IF($D16="","",$D16/'参数配置'!$B$5)</f>
        <v/>
      </c>
      <c r="J16" s="56">
        <f>IF($E16="","",$E16*$H16)</f>
        <v/>
      </c>
      <c r="K16" s="56">
        <f>IF($E16="","",$E16*'参数配置'!$D$20)</f>
        <v/>
      </c>
      <c r="L16" s="56">
        <f>IF($E16="","",'参数配置'!$D$21)</f>
        <v/>
      </c>
      <c r="M16" s="56">
        <f>IF($E16="","",$E16*'参数配置'!$B$8)</f>
        <v/>
      </c>
      <c r="N16" s="56">
        <f>IF($E16="","",IF($E16&lt;='参数配置'!$B$7,$E16*'参数配置'!$B$6,0))</f>
        <v/>
      </c>
      <c r="O16" s="56">
        <f>IF($E16="","",$E16*$G16)</f>
        <v/>
      </c>
      <c r="P16" s="56">
        <f>IF($E16="","",$E16*'参数配置'!$B$10)</f>
        <v/>
      </c>
      <c r="Q16" s="56">
        <f>IF($E16="","",$E16*'参数配置'!$B$11)</f>
        <v/>
      </c>
      <c r="R16" s="56">
        <f>IF($E16="","",$I16+$F16+$J16+$K16+$L16+$M16+$N16+$O16+$P16+$Q16)</f>
        <v/>
      </c>
      <c r="S16" s="56">
        <f>IF($E16="","",$E16-$R16)</f>
        <v/>
      </c>
      <c r="T16" s="57">
        <f>IF(OR($E16="",$E16=0),"",$S16/$E16)</f>
        <v/>
      </c>
      <c r="U16" s="38">
        <f>IF($E16="","",$S16*'参数配置'!$B$5)</f>
        <v/>
      </c>
      <c r="V16" s="57">
        <f>IF($E16="","",1-$H16-'参数配置'!$D$20-'参数配置'!$B$8-$G16-'参数配置'!$B$10-'参数配置'!$B$11-IF($E16&lt;='参数配置'!$B$7,'参数配置'!$B$6,0))</f>
        <v/>
      </c>
      <c r="W16" s="56">
        <f>IF($E16="","",$I16+$F16+$L16)</f>
        <v/>
      </c>
      <c r="X16" s="56">
        <f>IF($E16="","",IF($V16&gt;0,$W16/$V16,""))</f>
        <v/>
      </c>
      <c r="Y16" s="56">
        <f>IF($E16="","",IF(($V16-'参数配置'!$B$9)&gt;0,$W16/($V16-'参数配置'!$B$9),""))</f>
        <v/>
      </c>
      <c r="Z16" s="37">
        <f>IF($E16="","",IF(OR($C16="禁售",$C16="需资质"),"⛔"&amp;$C16&amp;"·不应进入利润表",IF($V16&lt;=0,"❗贡献率≤0·任何价都亏损",IF($E16&lt;$X16,"⛔低于保本价·亏损",IF($Y16="","⚠️目标不可达·需降本",IF($E16&lt;$Y16,"⚠️低于红线·未达目标利润率","✅达目标利润率"))))))</f>
        <v/>
      </c>
    </row>
    <row r="17">
      <c r="A17" s="52" t="n"/>
      <c r="B17" s="46">
        <f>IFERROR(VLOOKUP($A17,'SKU主表'!$A:$M,2,0),"")</f>
        <v/>
      </c>
      <c r="C17" s="47">
        <f>IFERROR(VLOOKUP($A17,'SKU主表'!$A:$M,9,0),"")</f>
        <v/>
      </c>
      <c r="D17" s="47">
        <f>IFERROR(VLOOKUP($A17,'SKU主表'!$A:$M,5,0),"")</f>
        <v/>
      </c>
      <c r="E17" s="58" t="n"/>
      <c r="F17" s="58" t="n"/>
      <c r="G17" s="59" t="n"/>
      <c r="H17" s="59">
        <f>'参数配置'!$D$22</f>
        <v/>
      </c>
      <c r="I17" s="56">
        <f>IF($D17="","",$D17/'参数配置'!$B$5)</f>
        <v/>
      </c>
      <c r="J17" s="56">
        <f>IF($E17="","",$E17*$H17)</f>
        <v/>
      </c>
      <c r="K17" s="56">
        <f>IF($E17="","",$E17*'参数配置'!$D$20)</f>
        <v/>
      </c>
      <c r="L17" s="56">
        <f>IF($E17="","",'参数配置'!$D$21)</f>
        <v/>
      </c>
      <c r="M17" s="56">
        <f>IF($E17="","",$E17*'参数配置'!$B$8)</f>
        <v/>
      </c>
      <c r="N17" s="56">
        <f>IF($E17="","",IF($E17&lt;='参数配置'!$B$7,$E17*'参数配置'!$B$6,0))</f>
        <v/>
      </c>
      <c r="O17" s="56">
        <f>IF($E17="","",$E17*$G17)</f>
        <v/>
      </c>
      <c r="P17" s="56">
        <f>IF($E17="","",$E17*'参数配置'!$B$10)</f>
        <v/>
      </c>
      <c r="Q17" s="56">
        <f>IF($E17="","",$E17*'参数配置'!$B$11)</f>
        <v/>
      </c>
      <c r="R17" s="56">
        <f>IF($E17="","",$I17+$F17+$J17+$K17+$L17+$M17+$N17+$O17+$P17+$Q17)</f>
        <v/>
      </c>
      <c r="S17" s="56">
        <f>IF($E17="","",$E17-$R17)</f>
        <v/>
      </c>
      <c r="T17" s="57">
        <f>IF(OR($E17="",$E17=0),"",$S17/$E17)</f>
        <v/>
      </c>
      <c r="U17" s="38">
        <f>IF($E17="","",$S17*'参数配置'!$B$5)</f>
        <v/>
      </c>
      <c r="V17" s="57">
        <f>IF($E17="","",1-$H17-'参数配置'!$D$20-'参数配置'!$B$8-$G17-'参数配置'!$B$10-'参数配置'!$B$11-IF($E17&lt;='参数配置'!$B$7,'参数配置'!$B$6,0))</f>
        <v/>
      </c>
      <c r="W17" s="56">
        <f>IF($E17="","",$I17+$F17+$L17)</f>
        <v/>
      </c>
      <c r="X17" s="56">
        <f>IF($E17="","",IF($V17&gt;0,$W17/$V17,""))</f>
        <v/>
      </c>
      <c r="Y17" s="56">
        <f>IF($E17="","",IF(($V17-'参数配置'!$B$9)&gt;0,$W17/($V17-'参数配置'!$B$9),""))</f>
        <v/>
      </c>
      <c r="Z17" s="37">
        <f>IF($E17="","",IF(OR($C17="禁售",$C17="需资质"),"⛔"&amp;$C17&amp;"·不应进入利润表",IF($V17&lt;=0,"❗贡献率≤0·任何价都亏损",IF($E17&lt;$X17,"⛔低于保本价·亏损",IF($Y17="","⚠️目标不可达·需降本",IF($E17&lt;$Y17,"⚠️低于红线·未达目标利润率","✅达目标利润率"))))))</f>
        <v/>
      </c>
    </row>
    <row r="18">
      <c r="A18" s="52" t="n"/>
      <c r="B18" s="46">
        <f>IFERROR(VLOOKUP($A18,'SKU主表'!$A:$M,2,0),"")</f>
        <v/>
      </c>
      <c r="C18" s="47">
        <f>IFERROR(VLOOKUP($A18,'SKU主表'!$A:$M,9,0),"")</f>
        <v/>
      </c>
      <c r="D18" s="47">
        <f>IFERROR(VLOOKUP($A18,'SKU主表'!$A:$M,5,0),"")</f>
        <v/>
      </c>
      <c r="E18" s="58" t="n"/>
      <c r="F18" s="58" t="n"/>
      <c r="G18" s="59" t="n"/>
      <c r="H18" s="59">
        <f>'参数配置'!$D$22</f>
        <v/>
      </c>
      <c r="I18" s="56">
        <f>IF($D18="","",$D18/'参数配置'!$B$5)</f>
        <v/>
      </c>
      <c r="J18" s="56">
        <f>IF($E18="","",$E18*$H18)</f>
        <v/>
      </c>
      <c r="K18" s="56">
        <f>IF($E18="","",$E18*'参数配置'!$D$20)</f>
        <v/>
      </c>
      <c r="L18" s="56">
        <f>IF($E18="","",'参数配置'!$D$21)</f>
        <v/>
      </c>
      <c r="M18" s="56">
        <f>IF($E18="","",$E18*'参数配置'!$B$8)</f>
        <v/>
      </c>
      <c r="N18" s="56">
        <f>IF($E18="","",IF($E18&lt;='参数配置'!$B$7,$E18*'参数配置'!$B$6,0))</f>
        <v/>
      </c>
      <c r="O18" s="56">
        <f>IF($E18="","",$E18*$G18)</f>
        <v/>
      </c>
      <c r="P18" s="56">
        <f>IF($E18="","",$E18*'参数配置'!$B$10)</f>
        <v/>
      </c>
      <c r="Q18" s="56">
        <f>IF($E18="","",$E18*'参数配置'!$B$11)</f>
        <v/>
      </c>
      <c r="R18" s="56">
        <f>IF($E18="","",$I18+$F18+$J18+$K18+$L18+$M18+$N18+$O18+$P18+$Q18)</f>
        <v/>
      </c>
      <c r="S18" s="56">
        <f>IF($E18="","",$E18-$R18)</f>
        <v/>
      </c>
      <c r="T18" s="57">
        <f>IF(OR($E18="",$E18=0),"",$S18/$E18)</f>
        <v/>
      </c>
      <c r="U18" s="38">
        <f>IF($E18="","",$S18*'参数配置'!$B$5)</f>
        <v/>
      </c>
      <c r="V18" s="57">
        <f>IF($E18="","",1-$H18-'参数配置'!$D$20-'参数配置'!$B$8-$G18-'参数配置'!$B$10-'参数配置'!$B$11-IF($E18&lt;='参数配置'!$B$7,'参数配置'!$B$6,0))</f>
        <v/>
      </c>
      <c r="W18" s="56">
        <f>IF($E18="","",$I18+$F18+$L18)</f>
        <v/>
      </c>
      <c r="X18" s="56">
        <f>IF($E18="","",IF($V18&gt;0,$W18/$V18,""))</f>
        <v/>
      </c>
      <c r="Y18" s="56">
        <f>IF($E18="","",IF(($V18-'参数配置'!$B$9)&gt;0,$W18/($V18-'参数配置'!$B$9),""))</f>
        <v/>
      </c>
      <c r="Z18" s="37">
        <f>IF($E18="","",IF(OR($C18="禁售",$C18="需资质"),"⛔"&amp;$C18&amp;"·不应进入利润表",IF($V18&lt;=0,"❗贡献率≤0·任何价都亏损",IF($E18&lt;$X18,"⛔低于保本价·亏损",IF($Y18="","⚠️目标不可达·需降本",IF($E18&lt;$Y18,"⚠️低于红线·未达目标利润率","✅达目标利润率"))))))</f>
        <v/>
      </c>
    </row>
    <row r="19">
      <c r="A19" s="52" t="n"/>
      <c r="B19" s="46">
        <f>IFERROR(VLOOKUP($A19,'SKU主表'!$A:$M,2,0),"")</f>
        <v/>
      </c>
      <c r="C19" s="47">
        <f>IFERROR(VLOOKUP($A19,'SKU主表'!$A:$M,9,0),"")</f>
        <v/>
      </c>
      <c r="D19" s="47">
        <f>IFERROR(VLOOKUP($A19,'SKU主表'!$A:$M,5,0),"")</f>
        <v/>
      </c>
      <c r="E19" s="58" t="n"/>
      <c r="F19" s="58" t="n"/>
      <c r="G19" s="59" t="n"/>
      <c r="H19" s="59">
        <f>'参数配置'!$D$22</f>
        <v/>
      </c>
      <c r="I19" s="56">
        <f>IF($D19="","",$D19/'参数配置'!$B$5)</f>
        <v/>
      </c>
      <c r="J19" s="56">
        <f>IF($E19="","",$E19*$H19)</f>
        <v/>
      </c>
      <c r="K19" s="56">
        <f>IF($E19="","",$E19*'参数配置'!$D$20)</f>
        <v/>
      </c>
      <c r="L19" s="56">
        <f>IF($E19="","",'参数配置'!$D$21)</f>
        <v/>
      </c>
      <c r="M19" s="56">
        <f>IF($E19="","",$E19*'参数配置'!$B$8)</f>
        <v/>
      </c>
      <c r="N19" s="56">
        <f>IF($E19="","",IF($E19&lt;='参数配置'!$B$7,$E19*'参数配置'!$B$6,0))</f>
        <v/>
      </c>
      <c r="O19" s="56">
        <f>IF($E19="","",$E19*$G19)</f>
        <v/>
      </c>
      <c r="P19" s="56">
        <f>IF($E19="","",$E19*'参数配置'!$B$10)</f>
        <v/>
      </c>
      <c r="Q19" s="56">
        <f>IF($E19="","",$E19*'参数配置'!$B$11)</f>
        <v/>
      </c>
      <c r="R19" s="56">
        <f>IF($E19="","",$I19+$F19+$J19+$K19+$L19+$M19+$N19+$O19+$P19+$Q19)</f>
        <v/>
      </c>
      <c r="S19" s="56">
        <f>IF($E19="","",$E19-$R19)</f>
        <v/>
      </c>
      <c r="T19" s="57">
        <f>IF(OR($E19="",$E19=0),"",$S19/$E19)</f>
        <v/>
      </c>
      <c r="U19" s="38">
        <f>IF($E19="","",$S19*'参数配置'!$B$5)</f>
        <v/>
      </c>
      <c r="V19" s="57">
        <f>IF($E19="","",1-$H19-'参数配置'!$D$20-'参数配置'!$B$8-$G19-'参数配置'!$B$10-'参数配置'!$B$11-IF($E19&lt;='参数配置'!$B$7,'参数配置'!$B$6,0))</f>
        <v/>
      </c>
      <c r="W19" s="56">
        <f>IF($E19="","",$I19+$F19+$L19)</f>
        <v/>
      </c>
      <c r="X19" s="56">
        <f>IF($E19="","",IF($V19&gt;0,$W19/$V19,""))</f>
        <v/>
      </c>
      <c r="Y19" s="56">
        <f>IF($E19="","",IF(($V19-'参数配置'!$B$9)&gt;0,$W19/($V19-'参数配置'!$B$9),""))</f>
        <v/>
      </c>
      <c r="Z19" s="37">
        <f>IF($E19="","",IF(OR($C19="禁售",$C19="需资质"),"⛔"&amp;$C19&amp;"·不应进入利润表",IF($V19&lt;=0,"❗贡献率≤0·任何价都亏损",IF($E19&lt;$X19,"⛔低于保本价·亏损",IF($Y19="","⚠️目标不可达·需降本",IF($E19&lt;$Y19,"⚠️低于红线·未达目标利润率","✅达目标利润率"))))))</f>
        <v/>
      </c>
    </row>
    <row r="20">
      <c r="A20" s="52" t="n"/>
      <c r="B20" s="46">
        <f>IFERROR(VLOOKUP($A20,'SKU主表'!$A:$M,2,0),"")</f>
        <v/>
      </c>
      <c r="C20" s="47">
        <f>IFERROR(VLOOKUP($A20,'SKU主表'!$A:$M,9,0),"")</f>
        <v/>
      </c>
      <c r="D20" s="47">
        <f>IFERROR(VLOOKUP($A20,'SKU主表'!$A:$M,5,0),"")</f>
        <v/>
      </c>
      <c r="E20" s="58" t="n"/>
      <c r="F20" s="58" t="n"/>
      <c r="G20" s="59" t="n"/>
      <c r="H20" s="59">
        <f>'参数配置'!$D$22</f>
        <v/>
      </c>
      <c r="I20" s="56">
        <f>IF($D20="","",$D20/'参数配置'!$B$5)</f>
        <v/>
      </c>
      <c r="J20" s="56">
        <f>IF($E20="","",$E20*$H20)</f>
        <v/>
      </c>
      <c r="K20" s="56">
        <f>IF($E20="","",$E20*'参数配置'!$D$20)</f>
        <v/>
      </c>
      <c r="L20" s="56">
        <f>IF($E20="","",'参数配置'!$D$21)</f>
        <v/>
      </c>
      <c r="M20" s="56">
        <f>IF($E20="","",$E20*'参数配置'!$B$8)</f>
        <v/>
      </c>
      <c r="N20" s="56">
        <f>IF($E20="","",IF($E20&lt;='参数配置'!$B$7,$E20*'参数配置'!$B$6,0))</f>
        <v/>
      </c>
      <c r="O20" s="56">
        <f>IF($E20="","",$E20*$G20)</f>
        <v/>
      </c>
      <c r="P20" s="56">
        <f>IF($E20="","",$E20*'参数配置'!$B$10)</f>
        <v/>
      </c>
      <c r="Q20" s="56">
        <f>IF($E20="","",$E20*'参数配置'!$B$11)</f>
        <v/>
      </c>
      <c r="R20" s="56">
        <f>IF($E20="","",$I20+$F20+$J20+$K20+$L20+$M20+$N20+$O20+$P20+$Q20)</f>
        <v/>
      </c>
      <c r="S20" s="56">
        <f>IF($E20="","",$E20-$R20)</f>
        <v/>
      </c>
      <c r="T20" s="57">
        <f>IF(OR($E20="",$E20=0),"",$S20/$E20)</f>
        <v/>
      </c>
      <c r="U20" s="38">
        <f>IF($E20="","",$S20*'参数配置'!$B$5)</f>
        <v/>
      </c>
      <c r="V20" s="57">
        <f>IF($E20="","",1-$H20-'参数配置'!$D$20-'参数配置'!$B$8-$G20-'参数配置'!$B$10-'参数配置'!$B$11-IF($E20&lt;='参数配置'!$B$7,'参数配置'!$B$6,0))</f>
        <v/>
      </c>
      <c r="W20" s="56">
        <f>IF($E20="","",$I20+$F20+$L20)</f>
        <v/>
      </c>
      <c r="X20" s="56">
        <f>IF($E20="","",IF($V20&gt;0,$W20/$V20,""))</f>
        <v/>
      </c>
      <c r="Y20" s="56">
        <f>IF($E20="","",IF(($V20-'参数配置'!$B$9)&gt;0,$W20/($V20-'参数配置'!$B$9),""))</f>
        <v/>
      </c>
      <c r="Z20" s="37">
        <f>IF($E20="","",IF(OR($C20="禁售",$C20="需资质"),"⛔"&amp;$C20&amp;"·不应进入利润表",IF($V20&lt;=0,"❗贡献率≤0·任何价都亏损",IF($E20&lt;$X20,"⛔低于保本价·亏损",IF($Y20="","⚠️目标不可达·需降本",IF($E20&lt;$Y20,"⚠️低于红线·未达目标利润率","✅达目标利润率"))))))</f>
        <v/>
      </c>
    </row>
    <row r="21">
      <c r="A21" s="52" t="n"/>
      <c r="B21" s="46">
        <f>IFERROR(VLOOKUP($A21,'SKU主表'!$A:$M,2,0),"")</f>
        <v/>
      </c>
      <c r="C21" s="47">
        <f>IFERROR(VLOOKUP($A21,'SKU主表'!$A:$M,9,0),"")</f>
        <v/>
      </c>
      <c r="D21" s="47">
        <f>IFERROR(VLOOKUP($A21,'SKU主表'!$A:$M,5,0),"")</f>
        <v/>
      </c>
      <c r="E21" s="58" t="n"/>
      <c r="F21" s="58" t="n"/>
      <c r="G21" s="59" t="n"/>
      <c r="H21" s="59">
        <f>'参数配置'!$D$22</f>
        <v/>
      </c>
      <c r="I21" s="56">
        <f>IF($D21="","",$D21/'参数配置'!$B$5)</f>
        <v/>
      </c>
      <c r="J21" s="56">
        <f>IF($E21="","",$E21*$H21)</f>
        <v/>
      </c>
      <c r="K21" s="56">
        <f>IF($E21="","",$E21*'参数配置'!$D$20)</f>
        <v/>
      </c>
      <c r="L21" s="56">
        <f>IF($E21="","",'参数配置'!$D$21)</f>
        <v/>
      </c>
      <c r="M21" s="56">
        <f>IF($E21="","",$E21*'参数配置'!$B$8)</f>
        <v/>
      </c>
      <c r="N21" s="56">
        <f>IF($E21="","",IF($E21&lt;='参数配置'!$B$7,$E21*'参数配置'!$B$6,0))</f>
        <v/>
      </c>
      <c r="O21" s="56">
        <f>IF($E21="","",$E21*$G21)</f>
        <v/>
      </c>
      <c r="P21" s="56">
        <f>IF($E21="","",$E21*'参数配置'!$B$10)</f>
        <v/>
      </c>
      <c r="Q21" s="56">
        <f>IF($E21="","",$E21*'参数配置'!$B$11)</f>
        <v/>
      </c>
      <c r="R21" s="56">
        <f>IF($E21="","",$I21+$F21+$J21+$K21+$L21+$M21+$N21+$O21+$P21+$Q21)</f>
        <v/>
      </c>
      <c r="S21" s="56">
        <f>IF($E21="","",$E21-$R21)</f>
        <v/>
      </c>
      <c r="T21" s="57">
        <f>IF(OR($E21="",$E21=0),"",$S21/$E21)</f>
        <v/>
      </c>
      <c r="U21" s="38">
        <f>IF($E21="","",$S21*'参数配置'!$B$5)</f>
        <v/>
      </c>
      <c r="V21" s="57">
        <f>IF($E21="","",1-$H21-'参数配置'!$D$20-'参数配置'!$B$8-$G21-'参数配置'!$B$10-'参数配置'!$B$11-IF($E21&lt;='参数配置'!$B$7,'参数配置'!$B$6,0))</f>
        <v/>
      </c>
      <c r="W21" s="56">
        <f>IF($E21="","",$I21+$F21+$L21)</f>
        <v/>
      </c>
      <c r="X21" s="56">
        <f>IF($E21="","",IF($V21&gt;0,$W21/$V21,""))</f>
        <v/>
      </c>
      <c r="Y21" s="56">
        <f>IF($E21="","",IF(($V21-'参数配置'!$B$9)&gt;0,$W21/($V21-'参数配置'!$B$9),""))</f>
        <v/>
      </c>
      <c r="Z21" s="37">
        <f>IF($E21="","",IF(OR($C21="禁售",$C21="需资质"),"⛔"&amp;$C21&amp;"·不应进入利润表",IF($V21&lt;=0,"❗贡献率≤0·任何价都亏损",IF($E21&lt;$X21,"⛔低于保本价·亏损",IF($Y21="","⚠️目标不可达·需降本",IF($E21&lt;$Y21,"⚠️低于红线·未达目标利润率","✅达目标利润率"))))))</f>
        <v/>
      </c>
    </row>
    <row r="22">
      <c r="A22" s="52" t="n"/>
      <c r="B22" s="46">
        <f>IFERROR(VLOOKUP($A22,'SKU主表'!$A:$M,2,0),"")</f>
        <v/>
      </c>
      <c r="C22" s="47">
        <f>IFERROR(VLOOKUP($A22,'SKU主表'!$A:$M,9,0),"")</f>
        <v/>
      </c>
      <c r="D22" s="47">
        <f>IFERROR(VLOOKUP($A22,'SKU主表'!$A:$M,5,0),"")</f>
        <v/>
      </c>
      <c r="E22" s="58" t="n"/>
      <c r="F22" s="58" t="n"/>
      <c r="G22" s="59" t="n"/>
      <c r="H22" s="59">
        <f>'参数配置'!$D$22</f>
        <v/>
      </c>
      <c r="I22" s="56">
        <f>IF($D22="","",$D22/'参数配置'!$B$5)</f>
        <v/>
      </c>
      <c r="J22" s="56">
        <f>IF($E22="","",$E22*$H22)</f>
        <v/>
      </c>
      <c r="K22" s="56">
        <f>IF($E22="","",$E22*'参数配置'!$D$20)</f>
        <v/>
      </c>
      <c r="L22" s="56">
        <f>IF($E22="","",'参数配置'!$D$21)</f>
        <v/>
      </c>
      <c r="M22" s="56">
        <f>IF($E22="","",$E22*'参数配置'!$B$8)</f>
        <v/>
      </c>
      <c r="N22" s="56">
        <f>IF($E22="","",IF($E22&lt;='参数配置'!$B$7,$E22*'参数配置'!$B$6,0))</f>
        <v/>
      </c>
      <c r="O22" s="56">
        <f>IF($E22="","",$E22*$G22)</f>
        <v/>
      </c>
      <c r="P22" s="56">
        <f>IF($E22="","",$E22*'参数配置'!$B$10)</f>
        <v/>
      </c>
      <c r="Q22" s="56">
        <f>IF($E22="","",$E22*'参数配置'!$B$11)</f>
        <v/>
      </c>
      <c r="R22" s="56">
        <f>IF($E22="","",$I22+$F22+$J22+$K22+$L22+$M22+$N22+$O22+$P22+$Q22)</f>
        <v/>
      </c>
      <c r="S22" s="56">
        <f>IF($E22="","",$E22-$R22)</f>
        <v/>
      </c>
      <c r="T22" s="57">
        <f>IF(OR($E22="",$E22=0),"",$S22/$E22)</f>
        <v/>
      </c>
      <c r="U22" s="38">
        <f>IF($E22="","",$S22*'参数配置'!$B$5)</f>
        <v/>
      </c>
      <c r="V22" s="57">
        <f>IF($E22="","",1-$H22-'参数配置'!$D$20-'参数配置'!$B$8-$G22-'参数配置'!$B$10-'参数配置'!$B$11-IF($E22&lt;='参数配置'!$B$7,'参数配置'!$B$6,0))</f>
        <v/>
      </c>
      <c r="W22" s="56">
        <f>IF($E22="","",$I22+$F22+$L22)</f>
        <v/>
      </c>
      <c r="X22" s="56">
        <f>IF($E22="","",IF($V22&gt;0,$W22/$V22,""))</f>
        <v/>
      </c>
      <c r="Y22" s="56">
        <f>IF($E22="","",IF(($V22-'参数配置'!$B$9)&gt;0,$W22/($V22-'参数配置'!$B$9),""))</f>
        <v/>
      </c>
      <c r="Z22" s="37">
        <f>IF($E22="","",IF(OR($C22="禁售",$C22="需资质"),"⛔"&amp;$C22&amp;"·不应进入利润表",IF($V22&lt;=0,"❗贡献率≤0·任何价都亏损",IF($E22&lt;$X22,"⛔低于保本价·亏损",IF($Y22="","⚠️目标不可达·需降本",IF($E22&lt;$Y22,"⚠️低于红线·未达目标利润率","✅达目标利润率"))))))</f>
        <v/>
      </c>
    </row>
    <row r="23">
      <c r="A23" s="52" t="n"/>
      <c r="B23" s="46">
        <f>IFERROR(VLOOKUP($A23,'SKU主表'!$A:$M,2,0),"")</f>
        <v/>
      </c>
      <c r="C23" s="47">
        <f>IFERROR(VLOOKUP($A23,'SKU主表'!$A:$M,9,0),"")</f>
        <v/>
      </c>
      <c r="D23" s="47">
        <f>IFERROR(VLOOKUP($A23,'SKU主表'!$A:$M,5,0),"")</f>
        <v/>
      </c>
      <c r="E23" s="58" t="n"/>
      <c r="F23" s="58" t="n"/>
      <c r="G23" s="59" t="n"/>
      <c r="H23" s="59">
        <f>'参数配置'!$D$22</f>
        <v/>
      </c>
      <c r="I23" s="56">
        <f>IF($D23="","",$D23/'参数配置'!$B$5)</f>
        <v/>
      </c>
      <c r="J23" s="56">
        <f>IF($E23="","",$E23*$H23)</f>
        <v/>
      </c>
      <c r="K23" s="56">
        <f>IF($E23="","",$E23*'参数配置'!$D$20)</f>
        <v/>
      </c>
      <c r="L23" s="56">
        <f>IF($E23="","",'参数配置'!$D$21)</f>
        <v/>
      </c>
      <c r="M23" s="56">
        <f>IF($E23="","",$E23*'参数配置'!$B$8)</f>
        <v/>
      </c>
      <c r="N23" s="56">
        <f>IF($E23="","",IF($E23&lt;='参数配置'!$B$7,$E23*'参数配置'!$B$6,0))</f>
        <v/>
      </c>
      <c r="O23" s="56">
        <f>IF($E23="","",$E23*$G23)</f>
        <v/>
      </c>
      <c r="P23" s="56">
        <f>IF($E23="","",$E23*'参数配置'!$B$10)</f>
        <v/>
      </c>
      <c r="Q23" s="56">
        <f>IF($E23="","",$E23*'参数配置'!$B$11)</f>
        <v/>
      </c>
      <c r="R23" s="56">
        <f>IF($E23="","",$I23+$F23+$J23+$K23+$L23+$M23+$N23+$O23+$P23+$Q23)</f>
        <v/>
      </c>
      <c r="S23" s="56">
        <f>IF($E23="","",$E23-$R23)</f>
        <v/>
      </c>
      <c r="T23" s="57">
        <f>IF(OR($E23="",$E23=0),"",$S23/$E23)</f>
        <v/>
      </c>
      <c r="U23" s="38">
        <f>IF($E23="","",$S23*'参数配置'!$B$5)</f>
        <v/>
      </c>
      <c r="V23" s="57">
        <f>IF($E23="","",1-$H23-'参数配置'!$D$20-'参数配置'!$B$8-$G23-'参数配置'!$B$10-'参数配置'!$B$11-IF($E23&lt;='参数配置'!$B$7,'参数配置'!$B$6,0))</f>
        <v/>
      </c>
      <c r="W23" s="56">
        <f>IF($E23="","",$I23+$F23+$L23)</f>
        <v/>
      </c>
      <c r="X23" s="56">
        <f>IF($E23="","",IF($V23&gt;0,$W23/$V23,""))</f>
        <v/>
      </c>
      <c r="Y23" s="56">
        <f>IF($E23="","",IF(($V23-'参数配置'!$B$9)&gt;0,$W23/($V23-'参数配置'!$B$9),""))</f>
        <v/>
      </c>
      <c r="Z23" s="37">
        <f>IF($E23="","",IF(OR($C23="禁售",$C23="需资质"),"⛔"&amp;$C23&amp;"·不应进入利润表",IF($V23&lt;=0,"❗贡献率≤0·任何价都亏损",IF($E23&lt;$X23,"⛔低于保本价·亏损",IF($Y23="","⚠️目标不可达·需降本",IF($E23&lt;$Y23,"⚠️低于红线·未达目标利润率","✅达目标利润率"))))))</f>
        <v/>
      </c>
    </row>
    <row r="24">
      <c r="A24" s="52" t="n"/>
      <c r="B24" s="46">
        <f>IFERROR(VLOOKUP($A24,'SKU主表'!$A:$M,2,0),"")</f>
        <v/>
      </c>
      <c r="C24" s="47">
        <f>IFERROR(VLOOKUP($A24,'SKU主表'!$A:$M,9,0),"")</f>
        <v/>
      </c>
      <c r="D24" s="47">
        <f>IFERROR(VLOOKUP($A24,'SKU主表'!$A:$M,5,0),"")</f>
        <v/>
      </c>
      <c r="E24" s="58" t="n"/>
      <c r="F24" s="58" t="n"/>
      <c r="G24" s="59" t="n"/>
      <c r="H24" s="59">
        <f>'参数配置'!$D$22</f>
        <v/>
      </c>
      <c r="I24" s="56">
        <f>IF($D24="","",$D24/'参数配置'!$B$5)</f>
        <v/>
      </c>
      <c r="J24" s="56">
        <f>IF($E24="","",$E24*$H24)</f>
        <v/>
      </c>
      <c r="K24" s="56">
        <f>IF($E24="","",$E24*'参数配置'!$D$20)</f>
        <v/>
      </c>
      <c r="L24" s="56">
        <f>IF($E24="","",'参数配置'!$D$21)</f>
        <v/>
      </c>
      <c r="M24" s="56">
        <f>IF($E24="","",$E24*'参数配置'!$B$8)</f>
        <v/>
      </c>
      <c r="N24" s="56">
        <f>IF($E24="","",IF($E24&lt;='参数配置'!$B$7,$E24*'参数配置'!$B$6,0))</f>
        <v/>
      </c>
      <c r="O24" s="56">
        <f>IF($E24="","",$E24*$G24)</f>
        <v/>
      </c>
      <c r="P24" s="56">
        <f>IF($E24="","",$E24*'参数配置'!$B$10)</f>
        <v/>
      </c>
      <c r="Q24" s="56">
        <f>IF($E24="","",$E24*'参数配置'!$B$11)</f>
        <v/>
      </c>
      <c r="R24" s="56">
        <f>IF($E24="","",$I24+$F24+$J24+$K24+$L24+$M24+$N24+$O24+$P24+$Q24)</f>
        <v/>
      </c>
      <c r="S24" s="56">
        <f>IF($E24="","",$E24-$R24)</f>
        <v/>
      </c>
      <c r="T24" s="57">
        <f>IF(OR($E24="",$E24=0),"",$S24/$E24)</f>
        <v/>
      </c>
      <c r="U24" s="38">
        <f>IF($E24="","",$S24*'参数配置'!$B$5)</f>
        <v/>
      </c>
      <c r="V24" s="57">
        <f>IF($E24="","",1-$H24-'参数配置'!$D$20-'参数配置'!$B$8-$G24-'参数配置'!$B$10-'参数配置'!$B$11-IF($E24&lt;='参数配置'!$B$7,'参数配置'!$B$6,0))</f>
        <v/>
      </c>
      <c r="W24" s="56">
        <f>IF($E24="","",$I24+$F24+$L24)</f>
        <v/>
      </c>
      <c r="X24" s="56">
        <f>IF($E24="","",IF($V24&gt;0,$W24/$V24,""))</f>
        <v/>
      </c>
      <c r="Y24" s="56">
        <f>IF($E24="","",IF(($V24-'参数配置'!$B$9)&gt;0,$W24/($V24-'参数配置'!$B$9),""))</f>
        <v/>
      </c>
      <c r="Z24" s="37">
        <f>IF($E24="","",IF(OR($C24="禁售",$C24="需资质"),"⛔"&amp;$C24&amp;"·不应进入利润表",IF($V24&lt;=0,"❗贡献率≤0·任何价都亏损",IF($E24&lt;$X24,"⛔低于保本价·亏损",IF($Y24="","⚠️目标不可达·需降本",IF($E24&lt;$Y24,"⚠️低于红线·未达目标利润率","✅达目标利润率"))))))</f>
        <v/>
      </c>
    </row>
    <row r="25">
      <c r="A25" s="52" t="n"/>
      <c r="B25" s="46">
        <f>IFERROR(VLOOKUP($A25,'SKU主表'!$A:$M,2,0),"")</f>
        <v/>
      </c>
      <c r="C25" s="47">
        <f>IFERROR(VLOOKUP($A25,'SKU主表'!$A:$M,9,0),"")</f>
        <v/>
      </c>
      <c r="D25" s="47">
        <f>IFERROR(VLOOKUP($A25,'SKU主表'!$A:$M,5,0),"")</f>
        <v/>
      </c>
      <c r="E25" s="58" t="n"/>
      <c r="F25" s="58" t="n"/>
      <c r="G25" s="59" t="n"/>
      <c r="H25" s="59">
        <f>'参数配置'!$D$22</f>
        <v/>
      </c>
      <c r="I25" s="56">
        <f>IF($D25="","",$D25/'参数配置'!$B$5)</f>
        <v/>
      </c>
      <c r="J25" s="56">
        <f>IF($E25="","",$E25*$H25)</f>
        <v/>
      </c>
      <c r="K25" s="56">
        <f>IF($E25="","",$E25*'参数配置'!$D$20)</f>
        <v/>
      </c>
      <c r="L25" s="56">
        <f>IF($E25="","",'参数配置'!$D$21)</f>
        <v/>
      </c>
      <c r="M25" s="56">
        <f>IF($E25="","",$E25*'参数配置'!$B$8)</f>
        <v/>
      </c>
      <c r="N25" s="56">
        <f>IF($E25="","",IF($E25&lt;='参数配置'!$B$7,$E25*'参数配置'!$B$6,0))</f>
        <v/>
      </c>
      <c r="O25" s="56">
        <f>IF($E25="","",$E25*$G25)</f>
        <v/>
      </c>
      <c r="P25" s="56">
        <f>IF($E25="","",$E25*'参数配置'!$B$10)</f>
        <v/>
      </c>
      <c r="Q25" s="56">
        <f>IF($E25="","",$E25*'参数配置'!$B$11)</f>
        <v/>
      </c>
      <c r="R25" s="56">
        <f>IF($E25="","",$I25+$F25+$J25+$K25+$L25+$M25+$N25+$O25+$P25+$Q25)</f>
        <v/>
      </c>
      <c r="S25" s="56">
        <f>IF($E25="","",$E25-$R25)</f>
        <v/>
      </c>
      <c r="T25" s="57">
        <f>IF(OR($E25="",$E25=0),"",$S25/$E25)</f>
        <v/>
      </c>
      <c r="U25" s="38">
        <f>IF($E25="","",$S25*'参数配置'!$B$5)</f>
        <v/>
      </c>
      <c r="V25" s="57">
        <f>IF($E25="","",1-$H25-'参数配置'!$D$20-'参数配置'!$B$8-$G25-'参数配置'!$B$10-'参数配置'!$B$11-IF($E25&lt;='参数配置'!$B$7,'参数配置'!$B$6,0))</f>
        <v/>
      </c>
      <c r="W25" s="56">
        <f>IF($E25="","",$I25+$F25+$L25)</f>
        <v/>
      </c>
      <c r="X25" s="56">
        <f>IF($E25="","",IF($V25&gt;0,$W25/$V25,""))</f>
        <v/>
      </c>
      <c r="Y25" s="56">
        <f>IF($E25="","",IF(($V25-'参数配置'!$B$9)&gt;0,$W25/($V25-'参数配置'!$B$9),""))</f>
        <v/>
      </c>
      <c r="Z25" s="37">
        <f>IF($E25="","",IF(OR($C25="禁售",$C25="需资质"),"⛔"&amp;$C25&amp;"·不应进入利润表",IF($V25&lt;=0,"❗贡献率≤0·任何价都亏损",IF($E25&lt;$X25,"⛔低于保本价·亏损",IF($Y25="","⚠️目标不可达·需降本",IF($E25&lt;$Y25,"⚠️低于红线·未达目标利润率","✅达目标利润率"))))))</f>
        <v/>
      </c>
    </row>
    <row r="26">
      <c r="A26" s="52" t="n"/>
      <c r="B26" s="46">
        <f>IFERROR(VLOOKUP($A26,'SKU主表'!$A:$M,2,0),"")</f>
        <v/>
      </c>
      <c r="C26" s="47">
        <f>IFERROR(VLOOKUP($A26,'SKU主表'!$A:$M,9,0),"")</f>
        <v/>
      </c>
      <c r="D26" s="47">
        <f>IFERROR(VLOOKUP($A26,'SKU主表'!$A:$M,5,0),"")</f>
        <v/>
      </c>
      <c r="E26" s="58" t="n"/>
      <c r="F26" s="58" t="n"/>
      <c r="G26" s="59" t="n"/>
      <c r="H26" s="59">
        <f>'参数配置'!$D$22</f>
        <v/>
      </c>
      <c r="I26" s="56">
        <f>IF($D26="","",$D26/'参数配置'!$B$5)</f>
        <v/>
      </c>
      <c r="J26" s="56">
        <f>IF($E26="","",$E26*$H26)</f>
        <v/>
      </c>
      <c r="K26" s="56">
        <f>IF($E26="","",$E26*'参数配置'!$D$20)</f>
        <v/>
      </c>
      <c r="L26" s="56">
        <f>IF($E26="","",'参数配置'!$D$21)</f>
        <v/>
      </c>
      <c r="M26" s="56">
        <f>IF($E26="","",$E26*'参数配置'!$B$8)</f>
        <v/>
      </c>
      <c r="N26" s="56">
        <f>IF($E26="","",IF($E26&lt;='参数配置'!$B$7,$E26*'参数配置'!$B$6,0))</f>
        <v/>
      </c>
      <c r="O26" s="56">
        <f>IF($E26="","",$E26*$G26)</f>
        <v/>
      </c>
      <c r="P26" s="56">
        <f>IF($E26="","",$E26*'参数配置'!$B$10)</f>
        <v/>
      </c>
      <c r="Q26" s="56">
        <f>IF($E26="","",$E26*'参数配置'!$B$11)</f>
        <v/>
      </c>
      <c r="R26" s="56">
        <f>IF($E26="","",$I26+$F26+$J26+$K26+$L26+$M26+$N26+$O26+$P26+$Q26)</f>
        <v/>
      </c>
      <c r="S26" s="56">
        <f>IF($E26="","",$E26-$R26)</f>
        <v/>
      </c>
      <c r="T26" s="57">
        <f>IF(OR($E26="",$E26=0),"",$S26/$E26)</f>
        <v/>
      </c>
      <c r="U26" s="38">
        <f>IF($E26="","",$S26*'参数配置'!$B$5)</f>
        <v/>
      </c>
      <c r="V26" s="57">
        <f>IF($E26="","",1-$H26-'参数配置'!$D$20-'参数配置'!$B$8-$G26-'参数配置'!$B$10-'参数配置'!$B$11-IF($E26&lt;='参数配置'!$B$7,'参数配置'!$B$6,0))</f>
        <v/>
      </c>
      <c r="W26" s="56">
        <f>IF($E26="","",$I26+$F26+$L26)</f>
        <v/>
      </c>
      <c r="X26" s="56">
        <f>IF($E26="","",IF($V26&gt;0,$W26/$V26,""))</f>
        <v/>
      </c>
      <c r="Y26" s="56">
        <f>IF($E26="","",IF(($V26-'参数配置'!$B$9)&gt;0,$W26/($V26-'参数配置'!$B$9),""))</f>
        <v/>
      </c>
      <c r="Z26" s="37">
        <f>IF($E26="","",IF(OR($C26="禁售",$C26="需资质"),"⛔"&amp;$C26&amp;"·不应进入利润表",IF($V26&lt;=0,"❗贡献率≤0·任何价都亏损",IF($E26&lt;$X26,"⛔低于保本价·亏损",IF($Y26="","⚠️目标不可达·需降本",IF($E26&lt;$Y26,"⚠️低于红线·未达目标利润率","✅达目标利润率"))))))</f>
        <v/>
      </c>
    </row>
    <row r="27">
      <c r="A27" s="52" t="n"/>
      <c r="B27" s="46">
        <f>IFERROR(VLOOKUP($A27,'SKU主表'!$A:$M,2,0),"")</f>
        <v/>
      </c>
      <c r="C27" s="47">
        <f>IFERROR(VLOOKUP($A27,'SKU主表'!$A:$M,9,0),"")</f>
        <v/>
      </c>
      <c r="D27" s="47">
        <f>IFERROR(VLOOKUP($A27,'SKU主表'!$A:$M,5,0),"")</f>
        <v/>
      </c>
      <c r="E27" s="58" t="n"/>
      <c r="F27" s="58" t="n"/>
      <c r="G27" s="59" t="n"/>
      <c r="H27" s="59">
        <f>'参数配置'!$D$22</f>
        <v/>
      </c>
      <c r="I27" s="56">
        <f>IF($D27="","",$D27/'参数配置'!$B$5)</f>
        <v/>
      </c>
      <c r="J27" s="56">
        <f>IF($E27="","",$E27*$H27)</f>
        <v/>
      </c>
      <c r="K27" s="56">
        <f>IF($E27="","",$E27*'参数配置'!$D$20)</f>
        <v/>
      </c>
      <c r="L27" s="56">
        <f>IF($E27="","",'参数配置'!$D$21)</f>
        <v/>
      </c>
      <c r="M27" s="56">
        <f>IF($E27="","",$E27*'参数配置'!$B$8)</f>
        <v/>
      </c>
      <c r="N27" s="56">
        <f>IF($E27="","",IF($E27&lt;='参数配置'!$B$7,$E27*'参数配置'!$B$6,0))</f>
        <v/>
      </c>
      <c r="O27" s="56">
        <f>IF($E27="","",$E27*$G27)</f>
        <v/>
      </c>
      <c r="P27" s="56">
        <f>IF($E27="","",$E27*'参数配置'!$B$10)</f>
        <v/>
      </c>
      <c r="Q27" s="56">
        <f>IF($E27="","",$E27*'参数配置'!$B$11)</f>
        <v/>
      </c>
      <c r="R27" s="56">
        <f>IF($E27="","",$I27+$F27+$J27+$K27+$L27+$M27+$N27+$O27+$P27+$Q27)</f>
        <v/>
      </c>
      <c r="S27" s="56">
        <f>IF($E27="","",$E27-$R27)</f>
        <v/>
      </c>
      <c r="T27" s="57">
        <f>IF(OR($E27="",$E27=0),"",$S27/$E27)</f>
        <v/>
      </c>
      <c r="U27" s="38">
        <f>IF($E27="","",$S27*'参数配置'!$B$5)</f>
        <v/>
      </c>
      <c r="V27" s="57">
        <f>IF($E27="","",1-$H27-'参数配置'!$D$20-'参数配置'!$B$8-$G27-'参数配置'!$B$10-'参数配置'!$B$11-IF($E27&lt;='参数配置'!$B$7,'参数配置'!$B$6,0))</f>
        <v/>
      </c>
      <c r="W27" s="56">
        <f>IF($E27="","",$I27+$F27+$L27)</f>
        <v/>
      </c>
      <c r="X27" s="56">
        <f>IF($E27="","",IF($V27&gt;0,$W27/$V27,""))</f>
        <v/>
      </c>
      <c r="Y27" s="56">
        <f>IF($E27="","",IF(($V27-'参数配置'!$B$9)&gt;0,$W27/($V27-'参数配置'!$B$9),""))</f>
        <v/>
      </c>
      <c r="Z27" s="37">
        <f>IF($E27="","",IF(OR($C27="禁售",$C27="需资质"),"⛔"&amp;$C27&amp;"·不应进入利润表",IF($V27&lt;=0,"❗贡献率≤0·任何价都亏损",IF($E27&lt;$X27,"⛔低于保本价·亏损",IF($Y27="","⚠️目标不可达·需降本",IF($E27&lt;$Y27,"⚠️低于红线·未达目标利润率","✅达目标利润率"))))))</f>
        <v/>
      </c>
    </row>
    <row r="28">
      <c r="A28" s="52" t="n"/>
      <c r="B28" s="46">
        <f>IFERROR(VLOOKUP($A28,'SKU主表'!$A:$M,2,0),"")</f>
        <v/>
      </c>
      <c r="C28" s="47">
        <f>IFERROR(VLOOKUP($A28,'SKU主表'!$A:$M,9,0),"")</f>
        <v/>
      </c>
      <c r="D28" s="47">
        <f>IFERROR(VLOOKUP($A28,'SKU主表'!$A:$M,5,0),"")</f>
        <v/>
      </c>
      <c r="E28" s="58" t="n"/>
      <c r="F28" s="58" t="n"/>
      <c r="G28" s="59" t="n"/>
      <c r="H28" s="59">
        <f>'参数配置'!$D$22</f>
        <v/>
      </c>
      <c r="I28" s="56">
        <f>IF($D28="","",$D28/'参数配置'!$B$5)</f>
        <v/>
      </c>
      <c r="J28" s="56">
        <f>IF($E28="","",$E28*$H28)</f>
        <v/>
      </c>
      <c r="K28" s="56">
        <f>IF($E28="","",$E28*'参数配置'!$D$20)</f>
        <v/>
      </c>
      <c r="L28" s="56">
        <f>IF($E28="","",'参数配置'!$D$21)</f>
        <v/>
      </c>
      <c r="M28" s="56">
        <f>IF($E28="","",$E28*'参数配置'!$B$8)</f>
        <v/>
      </c>
      <c r="N28" s="56">
        <f>IF($E28="","",IF($E28&lt;='参数配置'!$B$7,$E28*'参数配置'!$B$6,0))</f>
        <v/>
      </c>
      <c r="O28" s="56">
        <f>IF($E28="","",$E28*$G28)</f>
        <v/>
      </c>
      <c r="P28" s="56">
        <f>IF($E28="","",$E28*'参数配置'!$B$10)</f>
        <v/>
      </c>
      <c r="Q28" s="56">
        <f>IF($E28="","",$E28*'参数配置'!$B$11)</f>
        <v/>
      </c>
      <c r="R28" s="56">
        <f>IF($E28="","",$I28+$F28+$J28+$K28+$L28+$M28+$N28+$O28+$P28+$Q28)</f>
        <v/>
      </c>
      <c r="S28" s="56">
        <f>IF($E28="","",$E28-$R28)</f>
        <v/>
      </c>
      <c r="T28" s="57">
        <f>IF(OR($E28="",$E28=0),"",$S28/$E28)</f>
        <v/>
      </c>
      <c r="U28" s="38">
        <f>IF($E28="","",$S28*'参数配置'!$B$5)</f>
        <v/>
      </c>
      <c r="V28" s="57">
        <f>IF($E28="","",1-$H28-'参数配置'!$D$20-'参数配置'!$B$8-$G28-'参数配置'!$B$10-'参数配置'!$B$11-IF($E28&lt;='参数配置'!$B$7,'参数配置'!$B$6,0))</f>
        <v/>
      </c>
      <c r="W28" s="56">
        <f>IF($E28="","",$I28+$F28+$L28)</f>
        <v/>
      </c>
      <c r="X28" s="56">
        <f>IF($E28="","",IF($V28&gt;0,$W28/$V28,""))</f>
        <v/>
      </c>
      <c r="Y28" s="56">
        <f>IF($E28="","",IF(($V28-'参数配置'!$B$9)&gt;0,$W28/($V28-'参数配置'!$B$9),""))</f>
        <v/>
      </c>
      <c r="Z28" s="37">
        <f>IF($E28="","",IF(OR($C28="禁售",$C28="需资质"),"⛔"&amp;$C28&amp;"·不应进入利润表",IF($V28&lt;=0,"❗贡献率≤0·任何价都亏损",IF($E28&lt;$X28,"⛔低于保本价·亏损",IF($Y28="","⚠️目标不可达·需降本",IF($E28&lt;$Y28,"⚠️低于红线·未达目标利润率","✅达目标利润率"))))))</f>
        <v/>
      </c>
    </row>
    <row r="29">
      <c r="A29" s="52" t="n"/>
      <c r="B29" s="46">
        <f>IFERROR(VLOOKUP($A29,'SKU主表'!$A:$M,2,0),"")</f>
        <v/>
      </c>
      <c r="C29" s="47">
        <f>IFERROR(VLOOKUP($A29,'SKU主表'!$A:$M,9,0),"")</f>
        <v/>
      </c>
      <c r="D29" s="47">
        <f>IFERROR(VLOOKUP($A29,'SKU主表'!$A:$M,5,0),"")</f>
        <v/>
      </c>
      <c r="E29" s="58" t="n"/>
      <c r="F29" s="58" t="n"/>
      <c r="G29" s="59" t="n"/>
      <c r="H29" s="59">
        <f>'参数配置'!$D$22</f>
        <v/>
      </c>
      <c r="I29" s="56">
        <f>IF($D29="","",$D29/'参数配置'!$B$5)</f>
        <v/>
      </c>
      <c r="J29" s="56">
        <f>IF($E29="","",$E29*$H29)</f>
        <v/>
      </c>
      <c r="K29" s="56">
        <f>IF($E29="","",$E29*'参数配置'!$D$20)</f>
        <v/>
      </c>
      <c r="L29" s="56">
        <f>IF($E29="","",'参数配置'!$D$21)</f>
        <v/>
      </c>
      <c r="M29" s="56">
        <f>IF($E29="","",$E29*'参数配置'!$B$8)</f>
        <v/>
      </c>
      <c r="N29" s="56">
        <f>IF($E29="","",IF($E29&lt;='参数配置'!$B$7,$E29*'参数配置'!$B$6,0))</f>
        <v/>
      </c>
      <c r="O29" s="56">
        <f>IF($E29="","",$E29*$G29)</f>
        <v/>
      </c>
      <c r="P29" s="56">
        <f>IF($E29="","",$E29*'参数配置'!$B$10)</f>
        <v/>
      </c>
      <c r="Q29" s="56">
        <f>IF($E29="","",$E29*'参数配置'!$B$11)</f>
        <v/>
      </c>
      <c r="R29" s="56">
        <f>IF($E29="","",$I29+$F29+$J29+$K29+$L29+$M29+$N29+$O29+$P29+$Q29)</f>
        <v/>
      </c>
      <c r="S29" s="56">
        <f>IF($E29="","",$E29-$R29)</f>
        <v/>
      </c>
      <c r="T29" s="57">
        <f>IF(OR($E29="",$E29=0),"",$S29/$E29)</f>
        <v/>
      </c>
      <c r="U29" s="38">
        <f>IF($E29="","",$S29*'参数配置'!$B$5)</f>
        <v/>
      </c>
      <c r="V29" s="57">
        <f>IF($E29="","",1-$H29-'参数配置'!$D$20-'参数配置'!$B$8-$G29-'参数配置'!$B$10-'参数配置'!$B$11-IF($E29&lt;='参数配置'!$B$7,'参数配置'!$B$6,0))</f>
        <v/>
      </c>
      <c r="W29" s="56">
        <f>IF($E29="","",$I29+$F29+$L29)</f>
        <v/>
      </c>
      <c r="X29" s="56">
        <f>IF($E29="","",IF($V29&gt;0,$W29/$V29,""))</f>
        <v/>
      </c>
      <c r="Y29" s="56">
        <f>IF($E29="","",IF(($V29-'参数配置'!$B$9)&gt;0,$W29/($V29-'参数配置'!$B$9),""))</f>
        <v/>
      </c>
      <c r="Z29" s="37">
        <f>IF($E29="","",IF(OR($C29="禁售",$C29="需资质"),"⛔"&amp;$C29&amp;"·不应进入利润表",IF($V29&lt;=0,"❗贡献率≤0·任何价都亏损",IF($E29&lt;$X29,"⛔低于保本价·亏损",IF($Y29="","⚠️目标不可达·需降本",IF($E29&lt;$Y29,"⚠️低于红线·未达目标利润率","✅达目标利润率"))))))</f>
        <v/>
      </c>
    </row>
    <row r="30">
      <c r="A30" s="52" t="n"/>
      <c r="B30" s="46">
        <f>IFERROR(VLOOKUP($A30,'SKU主表'!$A:$M,2,0),"")</f>
        <v/>
      </c>
      <c r="C30" s="47">
        <f>IFERROR(VLOOKUP($A30,'SKU主表'!$A:$M,9,0),"")</f>
        <v/>
      </c>
      <c r="D30" s="47">
        <f>IFERROR(VLOOKUP($A30,'SKU主表'!$A:$M,5,0),"")</f>
        <v/>
      </c>
      <c r="E30" s="58" t="n"/>
      <c r="F30" s="58" t="n"/>
      <c r="G30" s="59" t="n"/>
      <c r="H30" s="59">
        <f>'参数配置'!$D$22</f>
        <v/>
      </c>
      <c r="I30" s="56">
        <f>IF($D30="","",$D30/'参数配置'!$B$5)</f>
        <v/>
      </c>
      <c r="J30" s="56">
        <f>IF($E30="","",$E30*$H30)</f>
        <v/>
      </c>
      <c r="K30" s="56">
        <f>IF($E30="","",$E30*'参数配置'!$D$20)</f>
        <v/>
      </c>
      <c r="L30" s="56">
        <f>IF($E30="","",'参数配置'!$D$21)</f>
        <v/>
      </c>
      <c r="M30" s="56">
        <f>IF($E30="","",$E30*'参数配置'!$B$8)</f>
        <v/>
      </c>
      <c r="N30" s="56">
        <f>IF($E30="","",IF($E30&lt;='参数配置'!$B$7,$E30*'参数配置'!$B$6,0))</f>
        <v/>
      </c>
      <c r="O30" s="56">
        <f>IF($E30="","",$E30*$G30)</f>
        <v/>
      </c>
      <c r="P30" s="56">
        <f>IF($E30="","",$E30*'参数配置'!$B$10)</f>
        <v/>
      </c>
      <c r="Q30" s="56">
        <f>IF($E30="","",$E30*'参数配置'!$B$11)</f>
        <v/>
      </c>
      <c r="R30" s="56">
        <f>IF($E30="","",$I30+$F30+$J30+$K30+$L30+$M30+$N30+$O30+$P30+$Q30)</f>
        <v/>
      </c>
      <c r="S30" s="56">
        <f>IF($E30="","",$E30-$R30)</f>
        <v/>
      </c>
      <c r="T30" s="57">
        <f>IF(OR($E30="",$E30=0),"",$S30/$E30)</f>
        <v/>
      </c>
      <c r="U30" s="38">
        <f>IF($E30="","",$S30*'参数配置'!$B$5)</f>
        <v/>
      </c>
      <c r="V30" s="57">
        <f>IF($E30="","",1-$H30-'参数配置'!$D$20-'参数配置'!$B$8-$G30-'参数配置'!$B$10-'参数配置'!$B$11-IF($E30&lt;='参数配置'!$B$7,'参数配置'!$B$6,0))</f>
        <v/>
      </c>
      <c r="W30" s="56">
        <f>IF($E30="","",$I30+$F30+$L30)</f>
        <v/>
      </c>
      <c r="X30" s="56">
        <f>IF($E30="","",IF($V30&gt;0,$W30/$V30,""))</f>
        <v/>
      </c>
      <c r="Y30" s="56">
        <f>IF($E30="","",IF(($V30-'参数配置'!$B$9)&gt;0,$W30/($V30-'参数配置'!$B$9),""))</f>
        <v/>
      </c>
      <c r="Z30" s="37">
        <f>IF($E30="","",IF(OR($C30="禁售",$C30="需资质"),"⛔"&amp;$C30&amp;"·不应进入利润表",IF($V30&lt;=0,"❗贡献率≤0·任何价都亏损",IF($E30&lt;$X30,"⛔低于保本价·亏损",IF($Y30="","⚠️目标不可达·需降本",IF($E30&lt;$Y30,"⚠️低于红线·未达目标利润率","✅达目标利润率"))))))</f>
        <v/>
      </c>
    </row>
    <row r="31">
      <c r="A31" s="52" t="n"/>
      <c r="B31" s="46">
        <f>IFERROR(VLOOKUP($A31,'SKU主表'!$A:$M,2,0),"")</f>
        <v/>
      </c>
      <c r="C31" s="47">
        <f>IFERROR(VLOOKUP($A31,'SKU主表'!$A:$M,9,0),"")</f>
        <v/>
      </c>
      <c r="D31" s="47">
        <f>IFERROR(VLOOKUP($A31,'SKU主表'!$A:$M,5,0),"")</f>
        <v/>
      </c>
      <c r="E31" s="58" t="n"/>
      <c r="F31" s="58" t="n"/>
      <c r="G31" s="59" t="n"/>
      <c r="H31" s="59">
        <f>'参数配置'!$D$22</f>
        <v/>
      </c>
      <c r="I31" s="56">
        <f>IF($D31="","",$D31/'参数配置'!$B$5)</f>
        <v/>
      </c>
      <c r="J31" s="56">
        <f>IF($E31="","",$E31*$H31)</f>
        <v/>
      </c>
      <c r="K31" s="56">
        <f>IF($E31="","",$E31*'参数配置'!$D$20)</f>
        <v/>
      </c>
      <c r="L31" s="56">
        <f>IF($E31="","",'参数配置'!$D$21)</f>
        <v/>
      </c>
      <c r="M31" s="56">
        <f>IF($E31="","",$E31*'参数配置'!$B$8)</f>
        <v/>
      </c>
      <c r="N31" s="56">
        <f>IF($E31="","",IF($E31&lt;='参数配置'!$B$7,$E31*'参数配置'!$B$6,0))</f>
        <v/>
      </c>
      <c r="O31" s="56">
        <f>IF($E31="","",$E31*$G31)</f>
        <v/>
      </c>
      <c r="P31" s="56">
        <f>IF($E31="","",$E31*'参数配置'!$B$10)</f>
        <v/>
      </c>
      <c r="Q31" s="56">
        <f>IF($E31="","",$E31*'参数配置'!$B$11)</f>
        <v/>
      </c>
      <c r="R31" s="56">
        <f>IF($E31="","",$I31+$F31+$J31+$K31+$L31+$M31+$N31+$O31+$P31+$Q31)</f>
        <v/>
      </c>
      <c r="S31" s="56">
        <f>IF($E31="","",$E31-$R31)</f>
        <v/>
      </c>
      <c r="T31" s="57">
        <f>IF(OR($E31="",$E31=0),"",$S31/$E31)</f>
        <v/>
      </c>
      <c r="U31" s="38">
        <f>IF($E31="","",$S31*'参数配置'!$B$5)</f>
        <v/>
      </c>
      <c r="V31" s="57">
        <f>IF($E31="","",1-$H31-'参数配置'!$D$20-'参数配置'!$B$8-$G31-'参数配置'!$B$10-'参数配置'!$B$11-IF($E31&lt;='参数配置'!$B$7,'参数配置'!$B$6,0))</f>
        <v/>
      </c>
      <c r="W31" s="56">
        <f>IF($E31="","",$I31+$F31+$L31)</f>
        <v/>
      </c>
      <c r="X31" s="56">
        <f>IF($E31="","",IF($V31&gt;0,$W31/$V31,""))</f>
        <v/>
      </c>
      <c r="Y31" s="56">
        <f>IF($E31="","",IF(($V31-'参数配置'!$B$9)&gt;0,$W31/($V31-'参数配置'!$B$9),""))</f>
        <v/>
      </c>
      <c r="Z31" s="37">
        <f>IF($E31="","",IF(OR($C31="禁售",$C31="需资质"),"⛔"&amp;$C31&amp;"·不应进入利润表",IF($V31&lt;=0,"❗贡献率≤0·任何价都亏损",IF($E31&lt;$X31,"⛔低于保本价·亏损",IF($Y31="","⚠️目标不可达·需降本",IF($E31&lt;$Y31,"⚠️低于红线·未达目标利润率","✅达目标利润率"))))))</f>
        <v/>
      </c>
    </row>
    <row r="32">
      <c r="A32" s="52" t="n"/>
      <c r="B32" s="46">
        <f>IFERROR(VLOOKUP($A32,'SKU主表'!$A:$M,2,0),"")</f>
        <v/>
      </c>
      <c r="C32" s="47">
        <f>IFERROR(VLOOKUP($A32,'SKU主表'!$A:$M,9,0),"")</f>
        <v/>
      </c>
      <c r="D32" s="47">
        <f>IFERROR(VLOOKUP($A32,'SKU主表'!$A:$M,5,0),"")</f>
        <v/>
      </c>
      <c r="E32" s="58" t="n"/>
      <c r="F32" s="58" t="n"/>
      <c r="G32" s="59" t="n"/>
      <c r="H32" s="59">
        <f>'参数配置'!$D$22</f>
        <v/>
      </c>
      <c r="I32" s="56">
        <f>IF($D32="","",$D32/'参数配置'!$B$5)</f>
        <v/>
      </c>
      <c r="J32" s="56">
        <f>IF($E32="","",$E32*$H32)</f>
        <v/>
      </c>
      <c r="K32" s="56">
        <f>IF($E32="","",$E32*'参数配置'!$D$20)</f>
        <v/>
      </c>
      <c r="L32" s="56">
        <f>IF($E32="","",'参数配置'!$D$21)</f>
        <v/>
      </c>
      <c r="M32" s="56">
        <f>IF($E32="","",$E32*'参数配置'!$B$8)</f>
        <v/>
      </c>
      <c r="N32" s="56">
        <f>IF($E32="","",IF($E32&lt;='参数配置'!$B$7,$E32*'参数配置'!$B$6,0))</f>
        <v/>
      </c>
      <c r="O32" s="56">
        <f>IF($E32="","",$E32*$G32)</f>
        <v/>
      </c>
      <c r="P32" s="56">
        <f>IF($E32="","",$E32*'参数配置'!$B$10)</f>
        <v/>
      </c>
      <c r="Q32" s="56">
        <f>IF($E32="","",$E32*'参数配置'!$B$11)</f>
        <v/>
      </c>
      <c r="R32" s="56">
        <f>IF($E32="","",$I32+$F32+$J32+$K32+$L32+$M32+$N32+$O32+$P32+$Q32)</f>
        <v/>
      </c>
      <c r="S32" s="56">
        <f>IF($E32="","",$E32-$R32)</f>
        <v/>
      </c>
      <c r="T32" s="57">
        <f>IF(OR($E32="",$E32=0),"",$S32/$E32)</f>
        <v/>
      </c>
      <c r="U32" s="38">
        <f>IF($E32="","",$S32*'参数配置'!$B$5)</f>
        <v/>
      </c>
      <c r="V32" s="57">
        <f>IF($E32="","",1-$H32-'参数配置'!$D$20-'参数配置'!$B$8-$G32-'参数配置'!$B$10-'参数配置'!$B$11-IF($E32&lt;='参数配置'!$B$7,'参数配置'!$B$6,0))</f>
        <v/>
      </c>
      <c r="W32" s="56">
        <f>IF($E32="","",$I32+$F32+$L32)</f>
        <v/>
      </c>
      <c r="X32" s="56">
        <f>IF($E32="","",IF($V32&gt;0,$W32/$V32,""))</f>
        <v/>
      </c>
      <c r="Y32" s="56">
        <f>IF($E32="","",IF(($V32-'参数配置'!$B$9)&gt;0,$W32/($V32-'参数配置'!$B$9),""))</f>
        <v/>
      </c>
      <c r="Z32" s="37">
        <f>IF($E32="","",IF(OR($C32="禁售",$C32="需资质"),"⛔"&amp;$C32&amp;"·不应进入利润表",IF($V32&lt;=0,"❗贡献率≤0·任何价都亏损",IF($E32&lt;$X32,"⛔低于保本价·亏损",IF($Y32="","⚠️目标不可达·需降本",IF($E32&lt;$Y32,"⚠️低于红线·未达目标利润率","✅达目标利润率"))))))</f>
        <v/>
      </c>
    </row>
    <row r="33">
      <c r="A33" s="52" t="n"/>
      <c r="B33" s="46">
        <f>IFERROR(VLOOKUP($A33,'SKU主表'!$A:$M,2,0),"")</f>
        <v/>
      </c>
      <c r="C33" s="47">
        <f>IFERROR(VLOOKUP($A33,'SKU主表'!$A:$M,9,0),"")</f>
        <v/>
      </c>
      <c r="D33" s="47">
        <f>IFERROR(VLOOKUP($A33,'SKU主表'!$A:$M,5,0),"")</f>
        <v/>
      </c>
      <c r="E33" s="58" t="n"/>
      <c r="F33" s="58" t="n"/>
      <c r="G33" s="59" t="n"/>
      <c r="H33" s="59">
        <f>'参数配置'!$D$22</f>
        <v/>
      </c>
      <c r="I33" s="56">
        <f>IF($D33="","",$D33/'参数配置'!$B$5)</f>
        <v/>
      </c>
      <c r="J33" s="56">
        <f>IF($E33="","",$E33*$H33)</f>
        <v/>
      </c>
      <c r="K33" s="56">
        <f>IF($E33="","",$E33*'参数配置'!$D$20)</f>
        <v/>
      </c>
      <c r="L33" s="56">
        <f>IF($E33="","",'参数配置'!$D$21)</f>
        <v/>
      </c>
      <c r="M33" s="56">
        <f>IF($E33="","",$E33*'参数配置'!$B$8)</f>
        <v/>
      </c>
      <c r="N33" s="56">
        <f>IF($E33="","",IF($E33&lt;='参数配置'!$B$7,$E33*'参数配置'!$B$6,0))</f>
        <v/>
      </c>
      <c r="O33" s="56">
        <f>IF($E33="","",$E33*$G33)</f>
        <v/>
      </c>
      <c r="P33" s="56">
        <f>IF($E33="","",$E33*'参数配置'!$B$10)</f>
        <v/>
      </c>
      <c r="Q33" s="56">
        <f>IF($E33="","",$E33*'参数配置'!$B$11)</f>
        <v/>
      </c>
      <c r="R33" s="56">
        <f>IF($E33="","",$I33+$F33+$J33+$K33+$L33+$M33+$N33+$O33+$P33+$Q33)</f>
        <v/>
      </c>
      <c r="S33" s="56">
        <f>IF($E33="","",$E33-$R33)</f>
        <v/>
      </c>
      <c r="T33" s="57">
        <f>IF(OR($E33="",$E33=0),"",$S33/$E33)</f>
        <v/>
      </c>
      <c r="U33" s="38">
        <f>IF($E33="","",$S33*'参数配置'!$B$5)</f>
        <v/>
      </c>
      <c r="V33" s="57">
        <f>IF($E33="","",1-$H33-'参数配置'!$D$20-'参数配置'!$B$8-$G33-'参数配置'!$B$10-'参数配置'!$B$11-IF($E33&lt;='参数配置'!$B$7,'参数配置'!$B$6,0))</f>
        <v/>
      </c>
      <c r="W33" s="56">
        <f>IF($E33="","",$I33+$F33+$L33)</f>
        <v/>
      </c>
      <c r="X33" s="56">
        <f>IF($E33="","",IF($V33&gt;0,$W33/$V33,""))</f>
        <v/>
      </c>
      <c r="Y33" s="56">
        <f>IF($E33="","",IF(($V33-'参数配置'!$B$9)&gt;0,$W33/($V33-'参数配置'!$B$9),""))</f>
        <v/>
      </c>
      <c r="Z33" s="37">
        <f>IF($E33="","",IF(OR($C33="禁售",$C33="需资质"),"⛔"&amp;$C33&amp;"·不应进入利润表",IF($V33&lt;=0,"❗贡献率≤0·任何价都亏损",IF($E33&lt;$X33,"⛔低于保本价·亏损",IF($Y33="","⚠️目标不可达·需降本",IF($E33&lt;$Y33,"⚠️低于红线·未达目标利润率","✅达目标利润率"))))))</f>
        <v/>
      </c>
    </row>
    <row r="34">
      <c r="A34" s="52" t="n"/>
      <c r="B34" s="46">
        <f>IFERROR(VLOOKUP($A34,'SKU主表'!$A:$M,2,0),"")</f>
        <v/>
      </c>
      <c r="C34" s="47">
        <f>IFERROR(VLOOKUP($A34,'SKU主表'!$A:$M,9,0),"")</f>
        <v/>
      </c>
      <c r="D34" s="47">
        <f>IFERROR(VLOOKUP($A34,'SKU主表'!$A:$M,5,0),"")</f>
        <v/>
      </c>
      <c r="E34" s="58" t="n"/>
      <c r="F34" s="58" t="n"/>
      <c r="G34" s="59" t="n"/>
      <c r="H34" s="59">
        <f>'参数配置'!$D$22</f>
        <v/>
      </c>
      <c r="I34" s="56">
        <f>IF($D34="","",$D34/'参数配置'!$B$5)</f>
        <v/>
      </c>
      <c r="J34" s="56">
        <f>IF($E34="","",$E34*$H34)</f>
        <v/>
      </c>
      <c r="K34" s="56">
        <f>IF($E34="","",$E34*'参数配置'!$D$20)</f>
        <v/>
      </c>
      <c r="L34" s="56">
        <f>IF($E34="","",'参数配置'!$D$21)</f>
        <v/>
      </c>
      <c r="M34" s="56">
        <f>IF($E34="","",$E34*'参数配置'!$B$8)</f>
        <v/>
      </c>
      <c r="N34" s="56">
        <f>IF($E34="","",IF($E34&lt;='参数配置'!$B$7,$E34*'参数配置'!$B$6,0))</f>
        <v/>
      </c>
      <c r="O34" s="56">
        <f>IF($E34="","",$E34*$G34)</f>
        <v/>
      </c>
      <c r="P34" s="56">
        <f>IF($E34="","",$E34*'参数配置'!$B$10)</f>
        <v/>
      </c>
      <c r="Q34" s="56">
        <f>IF($E34="","",$E34*'参数配置'!$B$11)</f>
        <v/>
      </c>
      <c r="R34" s="56">
        <f>IF($E34="","",$I34+$F34+$J34+$K34+$L34+$M34+$N34+$O34+$P34+$Q34)</f>
        <v/>
      </c>
      <c r="S34" s="56">
        <f>IF($E34="","",$E34-$R34)</f>
        <v/>
      </c>
      <c r="T34" s="57">
        <f>IF(OR($E34="",$E34=0),"",$S34/$E34)</f>
        <v/>
      </c>
      <c r="U34" s="38">
        <f>IF($E34="","",$S34*'参数配置'!$B$5)</f>
        <v/>
      </c>
      <c r="V34" s="57">
        <f>IF($E34="","",1-$H34-'参数配置'!$D$20-'参数配置'!$B$8-$G34-'参数配置'!$B$10-'参数配置'!$B$11-IF($E34&lt;='参数配置'!$B$7,'参数配置'!$B$6,0))</f>
        <v/>
      </c>
      <c r="W34" s="56">
        <f>IF($E34="","",$I34+$F34+$L34)</f>
        <v/>
      </c>
      <c r="X34" s="56">
        <f>IF($E34="","",IF($V34&gt;0,$W34/$V34,""))</f>
        <v/>
      </c>
      <c r="Y34" s="56">
        <f>IF($E34="","",IF(($V34-'参数配置'!$B$9)&gt;0,$W34/($V34-'参数配置'!$B$9),""))</f>
        <v/>
      </c>
      <c r="Z34" s="37">
        <f>IF($E34="","",IF(OR($C34="禁售",$C34="需资质"),"⛔"&amp;$C34&amp;"·不应进入利润表",IF($V34&lt;=0,"❗贡献率≤0·任何价都亏损",IF($E34&lt;$X34,"⛔低于保本价·亏损",IF($Y34="","⚠️目标不可达·需降本",IF($E34&lt;$Y34,"⚠️低于红线·未达目标利润率","✅达目标利润率"))))))</f>
        <v/>
      </c>
    </row>
    <row r="35">
      <c r="A35" s="52" t="n"/>
      <c r="B35" s="46">
        <f>IFERROR(VLOOKUP($A35,'SKU主表'!$A:$M,2,0),"")</f>
        <v/>
      </c>
      <c r="C35" s="47">
        <f>IFERROR(VLOOKUP($A35,'SKU主表'!$A:$M,9,0),"")</f>
        <v/>
      </c>
      <c r="D35" s="47">
        <f>IFERROR(VLOOKUP($A35,'SKU主表'!$A:$M,5,0),"")</f>
        <v/>
      </c>
      <c r="E35" s="58" t="n"/>
      <c r="F35" s="58" t="n"/>
      <c r="G35" s="59" t="n"/>
      <c r="H35" s="59">
        <f>'参数配置'!$D$22</f>
        <v/>
      </c>
      <c r="I35" s="56">
        <f>IF($D35="","",$D35/'参数配置'!$B$5)</f>
        <v/>
      </c>
      <c r="J35" s="56">
        <f>IF($E35="","",$E35*$H35)</f>
        <v/>
      </c>
      <c r="K35" s="56">
        <f>IF($E35="","",$E35*'参数配置'!$D$20)</f>
        <v/>
      </c>
      <c r="L35" s="56">
        <f>IF($E35="","",'参数配置'!$D$21)</f>
        <v/>
      </c>
      <c r="M35" s="56">
        <f>IF($E35="","",$E35*'参数配置'!$B$8)</f>
        <v/>
      </c>
      <c r="N35" s="56">
        <f>IF($E35="","",IF($E35&lt;='参数配置'!$B$7,$E35*'参数配置'!$B$6,0))</f>
        <v/>
      </c>
      <c r="O35" s="56">
        <f>IF($E35="","",$E35*$G35)</f>
        <v/>
      </c>
      <c r="P35" s="56">
        <f>IF($E35="","",$E35*'参数配置'!$B$10)</f>
        <v/>
      </c>
      <c r="Q35" s="56">
        <f>IF($E35="","",$E35*'参数配置'!$B$11)</f>
        <v/>
      </c>
      <c r="R35" s="56">
        <f>IF($E35="","",$I35+$F35+$J35+$K35+$L35+$M35+$N35+$O35+$P35+$Q35)</f>
        <v/>
      </c>
      <c r="S35" s="56">
        <f>IF($E35="","",$E35-$R35)</f>
        <v/>
      </c>
      <c r="T35" s="57">
        <f>IF(OR($E35="",$E35=0),"",$S35/$E35)</f>
        <v/>
      </c>
      <c r="U35" s="38">
        <f>IF($E35="","",$S35*'参数配置'!$B$5)</f>
        <v/>
      </c>
      <c r="V35" s="57">
        <f>IF($E35="","",1-$H35-'参数配置'!$D$20-'参数配置'!$B$8-$G35-'参数配置'!$B$10-'参数配置'!$B$11-IF($E35&lt;='参数配置'!$B$7,'参数配置'!$B$6,0))</f>
        <v/>
      </c>
      <c r="W35" s="56">
        <f>IF($E35="","",$I35+$F35+$L35)</f>
        <v/>
      </c>
      <c r="X35" s="56">
        <f>IF($E35="","",IF($V35&gt;0,$W35/$V35,""))</f>
        <v/>
      </c>
      <c r="Y35" s="56">
        <f>IF($E35="","",IF(($V35-'参数配置'!$B$9)&gt;0,$W35/($V35-'参数配置'!$B$9),""))</f>
        <v/>
      </c>
      <c r="Z35" s="37">
        <f>IF($E35="","",IF(OR($C35="禁售",$C35="需资质"),"⛔"&amp;$C35&amp;"·不应进入利润表",IF($V35&lt;=0,"❗贡献率≤0·任何价都亏损",IF($E35&lt;$X35,"⛔低于保本价·亏损",IF($Y35="","⚠️目标不可达·需降本",IF($E35&lt;$Y35,"⚠️低于红线·未达目标利润率","✅达目标利润率"))))))</f>
        <v/>
      </c>
    </row>
    <row r="36">
      <c r="A36" s="52" t="n"/>
      <c r="B36" s="46">
        <f>IFERROR(VLOOKUP($A36,'SKU主表'!$A:$M,2,0),"")</f>
        <v/>
      </c>
      <c r="C36" s="47">
        <f>IFERROR(VLOOKUP($A36,'SKU主表'!$A:$M,9,0),"")</f>
        <v/>
      </c>
      <c r="D36" s="47">
        <f>IFERROR(VLOOKUP($A36,'SKU主表'!$A:$M,5,0),"")</f>
        <v/>
      </c>
      <c r="E36" s="58" t="n"/>
      <c r="F36" s="58" t="n"/>
      <c r="G36" s="59" t="n"/>
      <c r="H36" s="59">
        <f>'参数配置'!$D$22</f>
        <v/>
      </c>
      <c r="I36" s="56">
        <f>IF($D36="","",$D36/'参数配置'!$B$5)</f>
        <v/>
      </c>
      <c r="J36" s="56">
        <f>IF($E36="","",$E36*$H36)</f>
        <v/>
      </c>
      <c r="K36" s="56">
        <f>IF($E36="","",$E36*'参数配置'!$D$20)</f>
        <v/>
      </c>
      <c r="L36" s="56">
        <f>IF($E36="","",'参数配置'!$D$21)</f>
        <v/>
      </c>
      <c r="M36" s="56">
        <f>IF($E36="","",$E36*'参数配置'!$B$8)</f>
        <v/>
      </c>
      <c r="N36" s="56">
        <f>IF($E36="","",IF($E36&lt;='参数配置'!$B$7,$E36*'参数配置'!$B$6,0))</f>
        <v/>
      </c>
      <c r="O36" s="56">
        <f>IF($E36="","",$E36*$G36)</f>
        <v/>
      </c>
      <c r="P36" s="56">
        <f>IF($E36="","",$E36*'参数配置'!$B$10)</f>
        <v/>
      </c>
      <c r="Q36" s="56">
        <f>IF($E36="","",$E36*'参数配置'!$B$11)</f>
        <v/>
      </c>
      <c r="R36" s="56">
        <f>IF($E36="","",$I36+$F36+$J36+$K36+$L36+$M36+$N36+$O36+$P36+$Q36)</f>
        <v/>
      </c>
      <c r="S36" s="56">
        <f>IF($E36="","",$E36-$R36)</f>
        <v/>
      </c>
      <c r="T36" s="57">
        <f>IF(OR($E36="",$E36=0),"",$S36/$E36)</f>
        <v/>
      </c>
      <c r="U36" s="38">
        <f>IF($E36="","",$S36*'参数配置'!$B$5)</f>
        <v/>
      </c>
      <c r="V36" s="57">
        <f>IF($E36="","",1-$H36-'参数配置'!$D$20-'参数配置'!$B$8-$G36-'参数配置'!$B$10-'参数配置'!$B$11-IF($E36&lt;='参数配置'!$B$7,'参数配置'!$B$6,0))</f>
        <v/>
      </c>
      <c r="W36" s="56">
        <f>IF($E36="","",$I36+$F36+$L36)</f>
        <v/>
      </c>
      <c r="X36" s="56">
        <f>IF($E36="","",IF($V36&gt;0,$W36/$V36,""))</f>
        <v/>
      </c>
      <c r="Y36" s="56">
        <f>IF($E36="","",IF(($V36-'参数配置'!$B$9)&gt;0,$W36/($V36-'参数配置'!$B$9),""))</f>
        <v/>
      </c>
      <c r="Z36" s="37">
        <f>IF($E36="","",IF(OR($C36="禁售",$C36="需资质"),"⛔"&amp;$C36&amp;"·不应进入利润表",IF($V36&lt;=0,"❗贡献率≤0·任何价都亏损",IF($E36&lt;$X36,"⛔低于保本价·亏损",IF($Y36="","⚠️目标不可达·需降本",IF($E36&lt;$Y36,"⚠️低于红线·未达目标利润率","✅达目标利润率"))))))</f>
        <v/>
      </c>
    </row>
    <row r="37">
      <c r="A37" s="52" t="n"/>
      <c r="B37" s="46">
        <f>IFERROR(VLOOKUP($A37,'SKU主表'!$A:$M,2,0),"")</f>
        <v/>
      </c>
      <c r="C37" s="47">
        <f>IFERROR(VLOOKUP($A37,'SKU主表'!$A:$M,9,0),"")</f>
        <v/>
      </c>
      <c r="D37" s="47">
        <f>IFERROR(VLOOKUP($A37,'SKU主表'!$A:$M,5,0),"")</f>
        <v/>
      </c>
      <c r="E37" s="58" t="n"/>
      <c r="F37" s="58" t="n"/>
      <c r="G37" s="59" t="n"/>
      <c r="H37" s="59">
        <f>'参数配置'!$D$22</f>
        <v/>
      </c>
      <c r="I37" s="56">
        <f>IF($D37="","",$D37/'参数配置'!$B$5)</f>
        <v/>
      </c>
      <c r="J37" s="56">
        <f>IF($E37="","",$E37*$H37)</f>
        <v/>
      </c>
      <c r="K37" s="56">
        <f>IF($E37="","",$E37*'参数配置'!$D$20)</f>
        <v/>
      </c>
      <c r="L37" s="56">
        <f>IF($E37="","",'参数配置'!$D$21)</f>
        <v/>
      </c>
      <c r="M37" s="56">
        <f>IF($E37="","",$E37*'参数配置'!$B$8)</f>
        <v/>
      </c>
      <c r="N37" s="56">
        <f>IF($E37="","",IF($E37&lt;='参数配置'!$B$7,$E37*'参数配置'!$B$6,0))</f>
        <v/>
      </c>
      <c r="O37" s="56">
        <f>IF($E37="","",$E37*$G37)</f>
        <v/>
      </c>
      <c r="P37" s="56">
        <f>IF($E37="","",$E37*'参数配置'!$B$10)</f>
        <v/>
      </c>
      <c r="Q37" s="56">
        <f>IF($E37="","",$E37*'参数配置'!$B$11)</f>
        <v/>
      </c>
      <c r="R37" s="56">
        <f>IF($E37="","",$I37+$F37+$J37+$K37+$L37+$M37+$N37+$O37+$P37+$Q37)</f>
        <v/>
      </c>
      <c r="S37" s="56">
        <f>IF($E37="","",$E37-$R37)</f>
        <v/>
      </c>
      <c r="T37" s="57">
        <f>IF(OR($E37="",$E37=0),"",$S37/$E37)</f>
        <v/>
      </c>
      <c r="U37" s="38">
        <f>IF($E37="","",$S37*'参数配置'!$B$5)</f>
        <v/>
      </c>
      <c r="V37" s="57">
        <f>IF($E37="","",1-$H37-'参数配置'!$D$20-'参数配置'!$B$8-$G37-'参数配置'!$B$10-'参数配置'!$B$11-IF($E37&lt;='参数配置'!$B$7,'参数配置'!$B$6,0))</f>
        <v/>
      </c>
      <c r="W37" s="56">
        <f>IF($E37="","",$I37+$F37+$L37)</f>
        <v/>
      </c>
      <c r="X37" s="56">
        <f>IF($E37="","",IF($V37&gt;0,$W37/$V37,""))</f>
        <v/>
      </c>
      <c r="Y37" s="56">
        <f>IF($E37="","",IF(($V37-'参数配置'!$B$9)&gt;0,$W37/($V37-'参数配置'!$B$9),""))</f>
        <v/>
      </c>
      <c r="Z37" s="37">
        <f>IF($E37="","",IF(OR($C37="禁售",$C37="需资质"),"⛔"&amp;$C37&amp;"·不应进入利润表",IF($V37&lt;=0,"❗贡献率≤0·任何价都亏损",IF($E37&lt;$X37,"⛔低于保本价·亏损",IF($Y37="","⚠️目标不可达·需降本",IF($E37&lt;$Y37,"⚠️低于红线·未达目标利润率","✅达目标利润率"))))))</f>
        <v/>
      </c>
    </row>
    <row r="38">
      <c r="A38" s="52" t="n"/>
      <c r="B38" s="46">
        <f>IFERROR(VLOOKUP($A38,'SKU主表'!$A:$M,2,0),"")</f>
        <v/>
      </c>
      <c r="C38" s="47">
        <f>IFERROR(VLOOKUP($A38,'SKU主表'!$A:$M,9,0),"")</f>
        <v/>
      </c>
      <c r="D38" s="47">
        <f>IFERROR(VLOOKUP($A38,'SKU主表'!$A:$M,5,0),"")</f>
        <v/>
      </c>
      <c r="E38" s="58" t="n"/>
      <c r="F38" s="58" t="n"/>
      <c r="G38" s="59" t="n"/>
      <c r="H38" s="59">
        <f>'参数配置'!$D$22</f>
        <v/>
      </c>
      <c r="I38" s="56">
        <f>IF($D38="","",$D38/'参数配置'!$B$5)</f>
        <v/>
      </c>
      <c r="J38" s="56">
        <f>IF($E38="","",$E38*$H38)</f>
        <v/>
      </c>
      <c r="K38" s="56">
        <f>IF($E38="","",$E38*'参数配置'!$D$20)</f>
        <v/>
      </c>
      <c r="L38" s="56">
        <f>IF($E38="","",'参数配置'!$D$21)</f>
        <v/>
      </c>
      <c r="M38" s="56">
        <f>IF($E38="","",$E38*'参数配置'!$B$8)</f>
        <v/>
      </c>
      <c r="N38" s="56">
        <f>IF($E38="","",IF($E38&lt;='参数配置'!$B$7,$E38*'参数配置'!$B$6,0))</f>
        <v/>
      </c>
      <c r="O38" s="56">
        <f>IF($E38="","",$E38*$G38)</f>
        <v/>
      </c>
      <c r="P38" s="56">
        <f>IF($E38="","",$E38*'参数配置'!$B$10)</f>
        <v/>
      </c>
      <c r="Q38" s="56">
        <f>IF($E38="","",$E38*'参数配置'!$B$11)</f>
        <v/>
      </c>
      <c r="R38" s="56">
        <f>IF($E38="","",$I38+$F38+$J38+$K38+$L38+$M38+$N38+$O38+$P38+$Q38)</f>
        <v/>
      </c>
      <c r="S38" s="56">
        <f>IF($E38="","",$E38-$R38)</f>
        <v/>
      </c>
      <c r="T38" s="57">
        <f>IF(OR($E38="",$E38=0),"",$S38/$E38)</f>
        <v/>
      </c>
      <c r="U38" s="38">
        <f>IF($E38="","",$S38*'参数配置'!$B$5)</f>
        <v/>
      </c>
      <c r="V38" s="57">
        <f>IF($E38="","",1-$H38-'参数配置'!$D$20-'参数配置'!$B$8-$G38-'参数配置'!$B$10-'参数配置'!$B$11-IF($E38&lt;='参数配置'!$B$7,'参数配置'!$B$6,0))</f>
        <v/>
      </c>
      <c r="W38" s="56">
        <f>IF($E38="","",$I38+$F38+$L38)</f>
        <v/>
      </c>
      <c r="X38" s="56">
        <f>IF($E38="","",IF($V38&gt;0,$W38/$V38,""))</f>
        <v/>
      </c>
      <c r="Y38" s="56">
        <f>IF($E38="","",IF(($V38-'参数配置'!$B$9)&gt;0,$W38/($V38-'参数配置'!$B$9),""))</f>
        <v/>
      </c>
      <c r="Z38" s="37">
        <f>IF($E38="","",IF(OR($C38="禁售",$C38="需资质"),"⛔"&amp;$C38&amp;"·不应进入利润表",IF($V38&lt;=0,"❗贡献率≤0·任何价都亏损",IF($E38&lt;$X38,"⛔低于保本价·亏损",IF($Y38="","⚠️目标不可达·需降本",IF($E38&lt;$Y38,"⚠️低于红线·未达目标利润率","✅达目标利润率"))))))</f>
        <v/>
      </c>
    </row>
    <row r="39">
      <c r="A39" s="52" t="n"/>
      <c r="B39" s="46">
        <f>IFERROR(VLOOKUP($A39,'SKU主表'!$A:$M,2,0),"")</f>
        <v/>
      </c>
      <c r="C39" s="47">
        <f>IFERROR(VLOOKUP($A39,'SKU主表'!$A:$M,9,0),"")</f>
        <v/>
      </c>
      <c r="D39" s="47">
        <f>IFERROR(VLOOKUP($A39,'SKU主表'!$A:$M,5,0),"")</f>
        <v/>
      </c>
      <c r="E39" s="58" t="n"/>
      <c r="F39" s="58" t="n"/>
      <c r="G39" s="59" t="n"/>
      <c r="H39" s="59">
        <f>'参数配置'!$D$22</f>
        <v/>
      </c>
      <c r="I39" s="56">
        <f>IF($D39="","",$D39/'参数配置'!$B$5)</f>
        <v/>
      </c>
      <c r="J39" s="56">
        <f>IF($E39="","",$E39*$H39)</f>
        <v/>
      </c>
      <c r="K39" s="56">
        <f>IF($E39="","",$E39*'参数配置'!$D$20)</f>
        <v/>
      </c>
      <c r="L39" s="56">
        <f>IF($E39="","",'参数配置'!$D$21)</f>
        <v/>
      </c>
      <c r="M39" s="56">
        <f>IF($E39="","",$E39*'参数配置'!$B$8)</f>
        <v/>
      </c>
      <c r="N39" s="56">
        <f>IF($E39="","",IF($E39&lt;='参数配置'!$B$7,$E39*'参数配置'!$B$6,0))</f>
        <v/>
      </c>
      <c r="O39" s="56">
        <f>IF($E39="","",$E39*$G39)</f>
        <v/>
      </c>
      <c r="P39" s="56">
        <f>IF($E39="","",$E39*'参数配置'!$B$10)</f>
        <v/>
      </c>
      <c r="Q39" s="56">
        <f>IF($E39="","",$E39*'参数配置'!$B$11)</f>
        <v/>
      </c>
      <c r="R39" s="56">
        <f>IF($E39="","",$I39+$F39+$J39+$K39+$L39+$M39+$N39+$O39+$P39+$Q39)</f>
        <v/>
      </c>
      <c r="S39" s="56">
        <f>IF($E39="","",$E39-$R39)</f>
        <v/>
      </c>
      <c r="T39" s="57">
        <f>IF(OR($E39="",$E39=0),"",$S39/$E39)</f>
        <v/>
      </c>
      <c r="U39" s="38">
        <f>IF($E39="","",$S39*'参数配置'!$B$5)</f>
        <v/>
      </c>
      <c r="V39" s="57">
        <f>IF($E39="","",1-$H39-'参数配置'!$D$20-'参数配置'!$B$8-$G39-'参数配置'!$B$10-'参数配置'!$B$11-IF($E39&lt;='参数配置'!$B$7,'参数配置'!$B$6,0))</f>
        <v/>
      </c>
      <c r="W39" s="56">
        <f>IF($E39="","",$I39+$F39+$L39)</f>
        <v/>
      </c>
      <c r="X39" s="56">
        <f>IF($E39="","",IF($V39&gt;0,$W39/$V39,""))</f>
        <v/>
      </c>
      <c r="Y39" s="56">
        <f>IF($E39="","",IF(($V39-'参数配置'!$B$9)&gt;0,$W39/($V39-'参数配置'!$B$9),""))</f>
        <v/>
      </c>
      <c r="Z39" s="37">
        <f>IF($E39="","",IF(OR($C39="禁售",$C39="需资质"),"⛔"&amp;$C39&amp;"·不应进入利润表",IF($V39&lt;=0,"❗贡献率≤0·任何价都亏损",IF($E39&lt;$X39,"⛔低于保本价·亏损",IF($Y39="","⚠️目标不可达·需降本",IF($E39&lt;$Y39,"⚠️低于红线·未达目标利润率","✅达目标利润率"))))))</f>
        <v/>
      </c>
    </row>
    <row r="40">
      <c r="A40" s="52" t="n"/>
      <c r="B40" s="46">
        <f>IFERROR(VLOOKUP($A40,'SKU主表'!$A:$M,2,0),"")</f>
        <v/>
      </c>
      <c r="C40" s="47">
        <f>IFERROR(VLOOKUP($A40,'SKU主表'!$A:$M,9,0),"")</f>
        <v/>
      </c>
      <c r="D40" s="47">
        <f>IFERROR(VLOOKUP($A40,'SKU主表'!$A:$M,5,0),"")</f>
        <v/>
      </c>
      <c r="E40" s="58" t="n"/>
      <c r="F40" s="58" t="n"/>
      <c r="G40" s="59" t="n"/>
      <c r="H40" s="59">
        <f>'参数配置'!$D$22</f>
        <v/>
      </c>
      <c r="I40" s="56">
        <f>IF($D40="","",$D40/'参数配置'!$B$5)</f>
        <v/>
      </c>
      <c r="J40" s="56">
        <f>IF($E40="","",$E40*$H40)</f>
        <v/>
      </c>
      <c r="K40" s="56">
        <f>IF($E40="","",$E40*'参数配置'!$D$20)</f>
        <v/>
      </c>
      <c r="L40" s="56">
        <f>IF($E40="","",'参数配置'!$D$21)</f>
        <v/>
      </c>
      <c r="M40" s="56">
        <f>IF($E40="","",$E40*'参数配置'!$B$8)</f>
        <v/>
      </c>
      <c r="N40" s="56">
        <f>IF($E40="","",IF($E40&lt;='参数配置'!$B$7,$E40*'参数配置'!$B$6,0))</f>
        <v/>
      </c>
      <c r="O40" s="56">
        <f>IF($E40="","",$E40*$G40)</f>
        <v/>
      </c>
      <c r="P40" s="56">
        <f>IF($E40="","",$E40*'参数配置'!$B$10)</f>
        <v/>
      </c>
      <c r="Q40" s="56">
        <f>IF($E40="","",$E40*'参数配置'!$B$11)</f>
        <v/>
      </c>
      <c r="R40" s="56">
        <f>IF($E40="","",$I40+$F40+$J40+$K40+$L40+$M40+$N40+$O40+$P40+$Q40)</f>
        <v/>
      </c>
      <c r="S40" s="56">
        <f>IF($E40="","",$E40-$R40)</f>
        <v/>
      </c>
      <c r="T40" s="57">
        <f>IF(OR($E40="",$E40=0),"",$S40/$E40)</f>
        <v/>
      </c>
      <c r="U40" s="38">
        <f>IF($E40="","",$S40*'参数配置'!$B$5)</f>
        <v/>
      </c>
      <c r="V40" s="57">
        <f>IF($E40="","",1-$H40-'参数配置'!$D$20-'参数配置'!$B$8-$G40-'参数配置'!$B$10-'参数配置'!$B$11-IF($E40&lt;='参数配置'!$B$7,'参数配置'!$B$6,0))</f>
        <v/>
      </c>
      <c r="W40" s="56">
        <f>IF($E40="","",$I40+$F40+$L40)</f>
        <v/>
      </c>
      <c r="X40" s="56">
        <f>IF($E40="","",IF($V40&gt;0,$W40/$V40,""))</f>
        <v/>
      </c>
      <c r="Y40" s="56">
        <f>IF($E40="","",IF(($V40-'参数配置'!$B$9)&gt;0,$W40/($V40-'参数配置'!$B$9),""))</f>
        <v/>
      </c>
      <c r="Z40" s="37">
        <f>IF($E40="","",IF(OR($C40="禁售",$C40="需资质"),"⛔"&amp;$C40&amp;"·不应进入利润表",IF($V40&lt;=0,"❗贡献率≤0·任何价都亏损",IF($E40&lt;$X40,"⛔低于保本价·亏损",IF($Y40="","⚠️目标不可达·需降本",IF($E40&lt;$Y40,"⚠️低于红线·未达目标利润率","✅达目标利润率"))))))</f>
        <v/>
      </c>
    </row>
    <row r="41">
      <c r="A41" s="52" t="n"/>
      <c r="B41" s="46">
        <f>IFERROR(VLOOKUP($A41,'SKU主表'!$A:$M,2,0),"")</f>
        <v/>
      </c>
      <c r="C41" s="47">
        <f>IFERROR(VLOOKUP($A41,'SKU主表'!$A:$M,9,0),"")</f>
        <v/>
      </c>
      <c r="D41" s="47">
        <f>IFERROR(VLOOKUP($A41,'SKU主表'!$A:$M,5,0),"")</f>
        <v/>
      </c>
      <c r="E41" s="58" t="n"/>
      <c r="F41" s="58" t="n"/>
      <c r="G41" s="59" t="n"/>
      <c r="H41" s="59">
        <f>'参数配置'!$D$22</f>
        <v/>
      </c>
      <c r="I41" s="56">
        <f>IF($D41="","",$D41/'参数配置'!$B$5)</f>
        <v/>
      </c>
      <c r="J41" s="56">
        <f>IF($E41="","",$E41*$H41)</f>
        <v/>
      </c>
      <c r="K41" s="56">
        <f>IF($E41="","",$E41*'参数配置'!$D$20)</f>
        <v/>
      </c>
      <c r="L41" s="56">
        <f>IF($E41="","",'参数配置'!$D$21)</f>
        <v/>
      </c>
      <c r="M41" s="56">
        <f>IF($E41="","",$E41*'参数配置'!$B$8)</f>
        <v/>
      </c>
      <c r="N41" s="56">
        <f>IF($E41="","",IF($E41&lt;='参数配置'!$B$7,$E41*'参数配置'!$B$6,0))</f>
        <v/>
      </c>
      <c r="O41" s="56">
        <f>IF($E41="","",$E41*$G41)</f>
        <v/>
      </c>
      <c r="P41" s="56">
        <f>IF($E41="","",$E41*'参数配置'!$B$10)</f>
        <v/>
      </c>
      <c r="Q41" s="56">
        <f>IF($E41="","",$E41*'参数配置'!$B$11)</f>
        <v/>
      </c>
      <c r="R41" s="56">
        <f>IF($E41="","",$I41+$F41+$J41+$K41+$L41+$M41+$N41+$O41+$P41+$Q41)</f>
        <v/>
      </c>
      <c r="S41" s="56">
        <f>IF($E41="","",$E41-$R41)</f>
        <v/>
      </c>
      <c r="T41" s="57">
        <f>IF(OR($E41="",$E41=0),"",$S41/$E41)</f>
        <v/>
      </c>
      <c r="U41" s="38">
        <f>IF($E41="","",$S41*'参数配置'!$B$5)</f>
        <v/>
      </c>
      <c r="V41" s="57">
        <f>IF($E41="","",1-$H41-'参数配置'!$D$20-'参数配置'!$B$8-$G41-'参数配置'!$B$10-'参数配置'!$B$11-IF($E41&lt;='参数配置'!$B$7,'参数配置'!$B$6,0))</f>
        <v/>
      </c>
      <c r="W41" s="56">
        <f>IF($E41="","",$I41+$F41+$L41)</f>
        <v/>
      </c>
      <c r="X41" s="56">
        <f>IF($E41="","",IF($V41&gt;0,$W41/$V41,""))</f>
        <v/>
      </c>
      <c r="Y41" s="56">
        <f>IF($E41="","",IF(($V41-'参数配置'!$B$9)&gt;0,$W41/($V41-'参数配置'!$B$9),""))</f>
        <v/>
      </c>
      <c r="Z41" s="37">
        <f>IF($E41="","",IF(OR($C41="禁售",$C41="需资质"),"⛔"&amp;$C41&amp;"·不应进入利润表",IF($V41&lt;=0,"❗贡献率≤0·任何价都亏损",IF($E41&lt;$X41,"⛔低于保本价·亏损",IF($Y41="","⚠️目标不可达·需降本",IF($E41&lt;$Y41,"⚠️低于红线·未达目标利润率","✅达目标利润率"))))))</f>
        <v/>
      </c>
    </row>
    <row r="42">
      <c r="A42" s="52" t="n"/>
      <c r="B42" s="46">
        <f>IFERROR(VLOOKUP($A42,'SKU主表'!$A:$M,2,0),"")</f>
        <v/>
      </c>
      <c r="C42" s="47">
        <f>IFERROR(VLOOKUP($A42,'SKU主表'!$A:$M,9,0),"")</f>
        <v/>
      </c>
      <c r="D42" s="47">
        <f>IFERROR(VLOOKUP($A42,'SKU主表'!$A:$M,5,0),"")</f>
        <v/>
      </c>
      <c r="E42" s="58" t="n"/>
      <c r="F42" s="58" t="n"/>
      <c r="G42" s="59" t="n"/>
      <c r="H42" s="59">
        <f>'参数配置'!$D$22</f>
        <v/>
      </c>
      <c r="I42" s="56">
        <f>IF($D42="","",$D42/'参数配置'!$B$5)</f>
        <v/>
      </c>
      <c r="J42" s="56">
        <f>IF($E42="","",$E42*$H42)</f>
        <v/>
      </c>
      <c r="K42" s="56">
        <f>IF($E42="","",$E42*'参数配置'!$D$20)</f>
        <v/>
      </c>
      <c r="L42" s="56">
        <f>IF($E42="","",'参数配置'!$D$21)</f>
        <v/>
      </c>
      <c r="M42" s="56">
        <f>IF($E42="","",$E42*'参数配置'!$B$8)</f>
        <v/>
      </c>
      <c r="N42" s="56">
        <f>IF($E42="","",IF($E42&lt;='参数配置'!$B$7,$E42*'参数配置'!$B$6,0))</f>
        <v/>
      </c>
      <c r="O42" s="56">
        <f>IF($E42="","",$E42*$G42)</f>
        <v/>
      </c>
      <c r="P42" s="56">
        <f>IF($E42="","",$E42*'参数配置'!$B$10)</f>
        <v/>
      </c>
      <c r="Q42" s="56">
        <f>IF($E42="","",$E42*'参数配置'!$B$11)</f>
        <v/>
      </c>
      <c r="R42" s="56">
        <f>IF($E42="","",$I42+$F42+$J42+$K42+$L42+$M42+$N42+$O42+$P42+$Q42)</f>
        <v/>
      </c>
      <c r="S42" s="56">
        <f>IF($E42="","",$E42-$R42)</f>
        <v/>
      </c>
      <c r="T42" s="57">
        <f>IF(OR($E42="",$E42=0),"",$S42/$E42)</f>
        <v/>
      </c>
      <c r="U42" s="38">
        <f>IF($E42="","",$S42*'参数配置'!$B$5)</f>
        <v/>
      </c>
      <c r="V42" s="57">
        <f>IF($E42="","",1-$H42-'参数配置'!$D$20-'参数配置'!$B$8-$G42-'参数配置'!$B$10-'参数配置'!$B$11-IF($E42&lt;='参数配置'!$B$7,'参数配置'!$B$6,0))</f>
        <v/>
      </c>
      <c r="W42" s="56">
        <f>IF($E42="","",$I42+$F42+$L42)</f>
        <v/>
      </c>
      <c r="X42" s="56">
        <f>IF($E42="","",IF($V42&gt;0,$W42/$V42,""))</f>
        <v/>
      </c>
      <c r="Y42" s="56">
        <f>IF($E42="","",IF(($V42-'参数配置'!$B$9)&gt;0,$W42/($V42-'参数配置'!$B$9),""))</f>
        <v/>
      </c>
      <c r="Z42" s="37">
        <f>IF($E42="","",IF(OR($C42="禁售",$C42="需资质"),"⛔"&amp;$C42&amp;"·不应进入利润表",IF($V42&lt;=0,"❗贡献率≤0·任何价都亏损",IF($E42&lt;$X42,"⛔低于保本价·亏损",IF($Y42="","⚠️目标不可达·需降本",IF($E42&lt;$Y42,"⚠️低于红线·未达目标利润率","✅达目标利润率"))))))</f>
        <v/>
      </c>
    </row>
    <row r="43">
      <c r="A43" s="52" t="n"/>
      <c r="B43" s="46">
        <f>IFERROR(VLOOKUP($A43,'SKU主表'!$A:$M,2,0),"")</f>
        <v/>
      </c>
      <c r="C43" s="47">
        <f>IFERROR(VLOOKUP($A43,'SKU主表'!$A:$M,9,0),"")</f>
        <v/>
      </c>
      <c r="D43" s="47">
        <f>IFERROR(VLOOKUP($A43,'SKU主表'!$A:$M,5,0),"")</f>
        <v/>
      </c>
      <c r="E43" s="58" t="n"/>
      <c r="F43" s="58" t="n"/>
      <c r="G43" s="59" t="n"/>
      <c r="H43" s="59">
        <f>'参数配置'!$D$22</f>
        <v/>
      </c>
      <c r="I43" s="56">
        <f>IF($D43="","",$D43/'参数配置'!$B$5)</f>
        <v/>
      </c>
      <c r="J43" s="56">
        <f>IF($E43="","",$E43*$H43)</f>
        <v/>
      </c>
      <c r="K43" s="56">
        <f>IF($E43="","",$E43*'参数配置'!$D$20)</f>
        <v/>
      </c>
      <c r="L43" s="56">
        <f>IF($E43="","",'参数配置'!$D$21)</f>
        <v/>
      </c>
      <c r="M43" s="56">
        <f>IF($E43="","",$E43*'参数配置'!$B$8)</f>
        <v/>
      </c>
      <c r="N43" s="56">
        <f>IF($E43="","",IF($E43&lt;='参数配置'!$B$7,$E43*'参数配置'!$B$6,0))</f>
        <v/>
      </c>
      <c r="O43" s="56">
        <f>IF($E43="","",$E43*$G43)</f>
        <v/>
      </c>
      <c r="P43" s="56">
        <f>IF($E43="","",$E43*'参数配置'!$B$10)</f>
        <v/>
      </c>
      <c r="Q43" s="56">
        <f>IF($E43="","",$E43*'参数配置'!$B$11)</f>
        <v/>
      </c>
      <c r="R43" s="56">
        <f>IF($E43="","",$I43+$F43+$J43+$K43+$L43+$M43+$N43+$O43+$P43+$Q43)</f>
        <v/>
      </c>
      <c r="S43" s="56">
        <f>IF($E43="","",$E43-$R43)</f>
        <v/>
      </c>
      <c r="T43" s="57">
        <f>IF(OR($E43="",$E43=0),"",$S43/$E43)</f>
        <v/>
      </c>
      <c r="U43" s="38">
        <f>IF($E43="","",$S43*'参数配置'!$B$5)</f>
        <v/>
      </c>
      <c r="V43" s="57">
        <f>IF($E43="","",1-$H43-'参数配置'!$D$20-'参数配置'!$B$8-$G43-'参数配置'!$B$10-'参数配置'!$B$11-IF($E43&lt;='参数配置'!$B$7,'参数配置'!$B$6,0))</f>
        <v/>
      </c>
      <c r="W43" s="56">
        <f>IF($E43="","",$I43+$F43+$L43)</f>
        <v/>
      </c>
      <c r="X43" s="56">
        <f>IF($E43="","",IF($V43&gt;0,$W43/$V43,""))</f>
        <v/>
      </c>
      <c r="Y43" s="56">
        <f>IF($E43="","",IF(($V43-'参数配置'!$B$9)&gt;0,$W43/($V43-'参数配置'!$B$9),""))</f>
        <v/>
      </c>
      <c r="Z43" s="37">
        <f>IF($E43="","",IF(OR($C43="禁售",$C43="需资质"),"⛔"&amp;$C43&amp;"·不应进入利润表",IF($V43&lt;=0,"❗贡献率≤0·任何价都亏损",IF($E43&lt;$X43,"⛔低于保本价·亏损",IF($Y43="","⚠️目标不可达·需降本",IF($E43&lt;$Y43,"⚠️低于红线·未达目标利润率","✅达目标利润率"))))))</f>
        <v/>
      </c>
    </row>
    <row r="44">
      <c r="A44" s="52" t="n"/>
      <c r="B44" s="46">
        <f>IFERROR(VLOOKUP($A44,'SKU主表'!$A:$M,2,0),"")</f>
        <v/>
      </c>
      <c r="C44" s="47">
        <f>IFERROR(VLOOKUP($A44,'SKU主表'!$A:$M,9,0),"")</f>
        <v/>
      </c>
      <c r="D44" s="47">
        <f>IFERROR(VLOOKUP($A44,'SKU主表'!$A:$M,5,0),"")</f>
        <v/>
      </c>
      <c r="E44" s="58" t="n"/>
      <c r="F44" s="58" t="n"/>
      <c r="G44" s="59" t="n"/>
      <c r="H44" s="59">
        <f>'参数配置'!$D$22</f>
        <v/>
      </c>
      <c r="I44" s="56">
        <f>IF($D44="","",$D44/'参数配置'!$B$5)</f>
        <v/>
      </c>
      <c r="J44" s="56">
        <f>IF($E44="","",$E44*$H44)</f>
        <v/>
      </c>
      <c r="K44" s="56">
        <f>IF($E44="","",$E44*'参数配置'!$D$20)</f>
        <v/>
      </c>
      <c r="L44" s="56">
        <f>IF($E44="","",'参数配置'!$D$21)</f>
        <v/>
      </c>
      <c r="M44" s="56">
        <f>IF($E44="","",$E44*'参数配置'!$B$8)</f>
        <v/>
      </c>
      <c r="N44" s="56">
        <f>IF($E44="","",IF($E44&lt;='参数配置'!$B$7,$E44*'参数配置'!$B$6,0))</f>
        <v/>
      </c>
      <c r="O44" s="56">
        <f>IF($E44="","",$E44*$G44)</f>
        <v/>
      </c>
      <c r="P44" s="56">
        <f>IF($E44="","",$E44*'参数配置'!$B$10)</f>
        <v/>
      </c>
      <c r="Q44" s="56">
        <f>IF($E44="","",$E44*'参数配置'!$B$11)</f>
        <v/>
      </c>
      <c r="R44" s="56">
        <f>IF($E44="","",$I44+$F44+$J44+$K44+$L44+$M44+$N44+$O44+$P44+$Q44)</f>
        <v/>
      </c>
      <c r="S44" s="56">
        <f>IF($E44="","",$E44-$R44)</f>
        <v/>
      </c>
      <c r="T44" s="57">
        <f>IF(OR($E44="",$E44=0),"",$S44/$E44)</f>
        <v/>
      </c>
      <c r="U44" s="38">
        <f>IF($E44="","",$S44*'参数配置'!$B$5)</f>
        <v/>
      </c>
      <c r="V44" s="57">
        <f>IF($E44="","",1-$H44-'参数配置'!$D$20-'参数配置'!$B$8-$G44-'参数配置'!$B$10-'参数配置'!$B$11-IF($E44&lt;='参数配置'!$B$7,'参数配置'!$B$6,0))</f>
        <v/>
      </c>
      <c r="W44" s="56">
        <f>IF($E44="","",$I44+$F44+$L44)</f>
        <v/>
      </c>
      <c r="X44" s="56">
        <f>IF($E44="","",IF($V44&gt;0,$W44/$V44,""))</f>
        <v/>
      </c>
      <c r="Y44" s="56">
        <f>IF($E44="","",IF(($V44-'参数配置'!$B$9)&gt;0,$W44/($V44-'参数配置'!$B$9),""))</f>
        <v/>
      </c>
      <c r="Z44" s="37">
        <f>IF($E44="","",IF(OR($C44="禁售",$C44="需资质"),"⛔"&amp;$C44&amp;"·不应进入利润表",IF($V44&lt;=0,"❗贡献率≤0·任何价都亏损",IF($E44&lt;$X44,"⛔低于保本价·亏损",IF($Y44="","⚠️目标不可达·需降本",IF($E44&lt;$Y44,"⚠️低于红线·未达目标利润率","✅达目标利润率"))))))</f>
        <v/>
      </c>
    </row>
    <row r="45">
      <c r="A45" s="52" t="n"/>
      <c r="B45" s="46">
        <f>IFERROR(VLOOKUP($A45,'SKU主表'!$A:$M,2,0),"")</f>
        <v/>
      </c>
      <c r="C45" s="47">
        <f>IFERROR(VLOOKUP($A45,'SKU主表'!$A:$M,9,0),"")</f>
        <v/>
      </c>
      <c r="D45" s="47">
        <f>IFERROR(VLOOKUP($A45,'SKU主表'!$A:$M,5,0),"")</f>
        <v/>
      </c>
      <c r="E45" s="58" t="n"/>
      <c r="F45" s="58" t="n"/>
      <c r="G45" s="59" t="n"/>
      <c r="H45" s="59">
        <f>'参数配置'!$D$22</f>
        <v/>
      </c>
      <c r="I45" s="56">
        <f>IF($D45="","",$D45/'参数配置'!$B$5)</f>
        <v/>
      </c>
      <c r="J45" s="56">
        <f>IF($E45="","",$E45*$H45)</f>
        <v/>
      </c>
      <c r="K45" s="56">
        <f>IF($E45="","",$E45*'参数配置'!$D$20)</f>
        <v/>
      </c>
      <c r="L45" s="56">
        <f>IF($E45="","",'参数配置'!$D$21)</f>
        <v/>
      </c>
      <c r="M45" s="56">
        <f>IF($E45="","",$E45*'参数配置'!$B$8)</f>
        <v/>
      </c>
      <c r="N45" s="56">
        <f>IF($E45="","",IF($E45&lt;='参数配置'!$B$7,$E45*'参数配置'!$B$6,0))</f>
        <v/>
      </c>
      <c r="O45" s="56">
        <f>IF($E45="","",$E45*$G45)</f>
        <v/>
      </c>
      <c r="P45" s="56">
        <f>IF($E45="","",$E45*'参数配置'!$B$10)</f>
        <v/>
      </c>
      <c r="Q45" s="56">
        <f>IF($E45="","",$E45*'参数配置'!$B$11)</f>
        <v/>
      </c>
      <c r="R45" s="56">
        <f>IF($E45="","",$I45+$F45+$J45+$K45+$L45+$M45+$N45+$O45+$P45+$Q45)</f>
        <v/>
      </c>
      <c r="S45" s="56">
        <f>IF($E45="","",$E45-$R45)</f>
        <v/>
      </c>
      <c r="T45" s="57">
        <f>IF(OR($E45="",$E45=0),"",$S45/$E45)</f>
        <v/>
      </c>
      <c r="U45" s="38">
        <f>IF($E45="","",$S45*'参数配置'!$B$5)</f>
        <v/>
      </c>
      <c r="V45" s="57">
        <f>IF($E45="","",1-$H45-'参数配置'!$D$20-'参数配置'!$B$8-$G45-'参数配置'!$B$10-'参数配置'!$B$11-IF($E45&lt;='参数配置'!$B$7,'参数配置'!$B$6,0))</f>
        <v/>
      </c>
      <c r="W45" s="56">
        <f>IF($E45="","",$I45+$F45+$L45)</f>
        <v/>
      </c>
      <c r="X45" s="56">
        <f>IF($E45="","",IF($V45&gt;0,$W45/$V45,""))</f>
        <v/>
      </c>
      <c r="Y45" s="56">
        <f>IF($E45="","",IF(($V45-'参数配置'!$B$9)&gt;0,$W45/($V45-'参数配置'!$B$9),""))</f>
        <v/>
      </c>
      <c r="Z45" s="37">
        <f>IF($E45="","",IF(OR($C45="禁售",$C45="需资质"),"⛔"&amp;$C45&amp;"·不应进入利润表",IF($V45&lt;=0,"❗贡献率≤0·任何价都亏损",IF($E45&lt;$X45,"⛔低于保本价·亏损",IF($Y45="","⚠️目标不可达·需降本",IF($E45&lt;$Y45,"⚠️低于红线·未达目标利润率","✅达目标利润率"))))))</f>
        <v/>
      </c>
    </row>
    <row r="46">
      <c r="A46" s="52" t="n"/>
      <c r="B46" s="46">
        <f>IFERROR(VLOOKUP($A46,'SKU主表'!$A:$M,2,0),"")</f>
        <v/>
      </c>
      <c r="C46" s="47">
        <f>IFERROR(VLOOKUP($A46,'SKU主表'!$A:$M,9,0),"")</f>
        <v/>
      </c>
      <c r="D46" s="47">
        <f>IFERROR(VLOOKUP($A46,'SKU主表'!$A:$M,5,0),"")</f>
        <v/>
      </c>
      <c r="E46" s="58" t="n"/>
      <c r="F46" s="58" t="n"/>
      <c r="G46" s="59" t="n"/>
      <c r="H46" s="59">
        <f>'参数配置'!$D$22</f>
        <v/>
      </c>
      <c r="I46" s="56">
        <f>IF($D46="","",$D46/'参数配置'!$B$5)</f>
        <v/>
      </c>
      <c r="J46" s="56">
        <f>IF($E46="","",$E46*$H46)</f>
        <v/>
      </c>
      <c r="K46" s="56">
        <f>IF($E46="","",$E46*'参数配置'!$D$20)</f>
        <v/>
      </c>
      <c r="L46" s="56">
        <f>IF($E46="","",'参数配置'!$D$21)</f>
        <v/>
      </c>
      <c r="M46" s="56">
        <f>IF($E46="","",$E46*'参数配置'!$B$8)</f>
        <v/>
      </c>
      <c r="N46" s="56">
        <f>IF($E46="","",IF($E46&lt;='参数配置'!$B$7,$E46*'参数配置'!$B$6,0))</f>
        <v/>
      </c>
      <c r="O46" s="56">
        <f>IF($E46="","",$E46*$G46)</f>
        <v/>
      </c>
      <c r="P46" s="56">
        <f>IF($E46="","",$E46*'参数配置'!$B$10)</f>
        <v/>
      </c>
      <c r="Q46" s="56">
        <f>IF($E46="","",$E46*'参数配置'!$B$11)</f>
        <v/>
      </c>
      <c r="R46" s="56">
        <f>IF($E46="","",$I46+$F46+$J46+$K46+$L46+$M46+$N46+$O46+$P46+$Q46)</f>
        <v/>
      </c>
      <c r="S46" s="56">
        <f>IF($E46="","",$E46-$R46)</f>
        <v/>
      </c>
      <c r="T46" s="57">
        <f>IF(OR($E46="",$E46=0),"",$S46/$E46)</f>
        <v/>
      </c>
      <c r="U46" s="38">
        <f>IF($E46="","",$S46*'参数配置'!$B$5)</f>
        <v/>
      </c>
      <c r="V46" s="57">
        <f>IF($E46="","",1-$H46-'参数配置'!$D$20-'参数配置'!$B$8-$G46-'参数配置'!$B$10-'参数配置'!$B$11-IF($E46&lt;='参数配置'!$B$7,'参数配置'!$B$6,0))</f>
        <v/>
      </c>
      <c r="W46" s="56">
        <f>IF($E46="","",$I46+$F46+$L46)</f>
        <v/>
      </c>
      <c r="X46" s="56">
        <f>IF($E46="","",IF($V46&gt;0,$W46/$V46,""))</f>
        <v/>
      </c>
      <c r="Y46" s="56">
        <f>IF($E46="","",IF(($V46-'参数配置'!$B$9)&gt;0,$W46/($V46-'参数配置'!$B$9),""))</f>
        <v/>
      </c>
      <c r="Z46" s="37">
        <f>IF($E46="","",IF(OR($C46="禁售",$C46="需资质"),"⛔"&amp;$C46&amp;"·不应进入利润表",IF($V46&lt;=0,"❗贡献率≤0·任何价都亏损",IF($E46&lt;$X46,"⛔低于保本价·亏损",IF($Y46="","⚠️目标不可达·需降本",IF($E46&lt;$Y46,"⚠️低于红线·未达目标利润率","✅达目标利润率"))))))</f>
        <v/>
      </c>
    </row>
    <row r="47">
      <c r="A47" s="52" t="n"/>
      <c r="B47" s="46">
        <f>IFERROR(VLOOKUP($A47,'SKU主表'!$A:$M,2,0),"")</f>
        <v/>
      </c>
      <c r="C47" s="47">
        <f>IFERROR(VLOOKUP($A47,'SKU主表'!$A:$M,9,0),"")</f>
        <v/>
      </c>
      <c r="D47" s="47">
        <f>IFERROR(VLOOKUP($A47,'SKU主表'!$A:$M,5,0),"")</f>
        <v/>
      </c>
      <c r="E47" s="58" t="n"/>
      <c r="F47" s="58" t="n"/>
      <c r="G47" s="59" t="n"/>
      <c r="H47" s="59">
        <f>'参数配置'!$D$22</f>
        <v/>
      </c>
      <c r="I47" s="56">
        <f>IF($D47="","",$D47/'参数配置'!$B$5)</f>
        <v/>
      </c>
      <c r="J47" s="56">
        <f>IF($E47="","",$E47*$H47)</f>
        <v/>
      </c>
      <c r="K47" s="56">
        <f>IF($E47="","",$E47*'参数配置'!$D$20)</f>
        <v/>
      </c>
      <c r="L47" s="56">
        <f>IF($E47="","",'参数配置'!$D$21)</f>
        <v/>
      </c>
      <c r="M47" s="56">
        <f>IF($E47="","",$E47*'参数配置'!$B$8)</f>
        <v/>
      </c>
      <c r="N47" s="56">
        <f>IF($E47="","",IF($E47&lt;='参数配置'!$B$7,$E47*'参数配置'!$B$6,0))</f>
        <v/>
      </c>
      <c r="O47" s="56">
        <f>IF($E47="","",$E47*$G47)</f>
        <v/>
      </c>
      <c r="P47" s="56">
        <f>IF($E47="","",$E47*'参数配置'!$B$10)</f>
        <v/>
      </c>
      <c r="Q47" s="56">
        <f>IF($E47="","",$E47*'参数配置'!$B$11)</f>
        <v/>
      </c>
      <c r="R47" s="56">
        <f>IF($E47="","",$I47+$F47+$J47+$K47+$L47+$M47+$N47+$O47+$P47+$Q47)</f>
        <v/>
      </c>
      <c r="S47" s="56">
        <f>IF($E47="","",$E47-$R47)</f>
        <v/>
      </c>
      <c r="T47" s="57">
        <f>IF(OR($E47="",$E47=0),"",$S47/$E47)</f>
        <v/>
      </c>
      <c r="U47" s="38">
        <f>IF($E47="","",$S47*'参数配置'!$B$5)</f>
        <v/>
      </c>
      <c r="V47" s="57">
        <f>IF($E47="","",1-$H47-'参数配置'!$D$20-'参数配置'!$B$8-$G47-'参数配置'!$B$10-'参数配置'!$B$11-IF($E47&lt;='参数配置'!$B$7,'参数配置'!$B$6,0))</f>
        <v/>
      </c>
      <c r="W47" s="56">
        <f>IF($E47="","",$I47+$F47+$L47)</f>
        <v/>
      </c>
      <c r="X47" s="56">
        <f>IF($E47="","",IF($V47&gt;0,$W47/$V47,""))</f>
        <v/>
      </c>
      <c r="Y47" s="56">
        <f>IF($E47="","",IF(($V47-'参数配置'!$B$9)&gt;0,$W47/($V47-'参数配置'!$B$9),""))</f>
        <v/>
      </c>
      <c r="Z47" s="37">
        <f>IF($E47="","",IF(OR($C47="禁售",$C47="需资质"),"⛔"&amp;$C47&amp;"·不应进入利润表",IF($V47&lt;=0,"❗贡献率≤0·任何价都亏损",IF($E47&lt;$X47,"⛔低于保本价·亏损",IF($Y47="","⚠️目标不可达·需降本",IF($E47&lt;$Y47,"⚠️低于红线·未达目标利润率","✅达目标利润率"))))))</f>
        <v/>
      </c>
    </row>
    <row r="48">
      <c r="A48" s="52" t="n"/>
      <c r="B48" s="46">
        <f>IFERROR(VLOOKUP($A48,'SKU主表'!$A:$M,2,0),"")</f>
        <v/>
      </c>
      <c r="C48" s="47">
        <f>IFERROR(VLOOKUP($A48,'SKU主表'!$A:$M,9,0),"")</f>
        <v/>
      </c>
      <c r="D48" s="47">
        <f>IFERROR(VLOOKUP($A48,'SKU主表'!$A:$M,5,0),"")</f>
        <v/>
      </c>
      <c r="E48" s="58" t="n"/>
      <c r="F48" s="58" t="n"/>
      <c r="G48" s="59" t="n"/>
      <c r="H48" s="59">
        <f>'参数配置'!$D$22</f>
        <v/>
      </c>
      <c r="I48" s="56">
        <f>IF($D48="","",$D48/'参数配置'!$B$5)</f>
        <v/>
      </c>
      <c r="J48" s="56">
        <f>IF($E48="","",$E48*$H48)</f>
        <v/>
      </c>
      <c r="K48" s="56">
        <f>IF($E48="","",$E48*'参数配置'!$D$20)</f>
        <v/>
      </c>
      <c r="L48" s="56">
        <f>IF($E48="","",'参数配置'!$D$21)</f>
        <v/>
      </c>
      <c r="M48" s="56">
        <f>IF($E48="","",$E48*'参数配置'!$B$8)</f>
        <v/>
      </c>
      <c r="N48" s="56">
        <f>IF($E48="","",IF($E48&lt;='参数配置'!$B$7,$E48*'参数配置'!$B$6,0))</f>
        <v/>
      </c>
      <c r="O48" s="56">
        <f>IF($E48="","",$E48*$G48)</f>
        <v/>
      </c>
      <c r="P48" s="56">
        <f>IF($E48="","",$E48*'参数配置'!$B$10)</f>
        <v/>
      </c>
      <c r="Q48" s="56">
        <f>IF($E48="","",$E48*'参数配置'!$B$11)</f>
        <v/>
      </c>
      <c r="R48" s="56">
        <f>IF($E48="","",$I48+$F48+$J48+$K48+$L48+$M48+$N48+$O48+$P48+$Q48)</f>
        <v/>
      </c>
      <c r="S48" s="56">
        <f>IF($E48="","",$E48-$R48)</f>
        <v/>
      </c>
      <c r="T48" s="57">
        <f>IF(OR($E48="",$E48=0),"",$S48/$E48)</f>
        <v/>
      </c>
      <c r="U48" s="38">
        <f>IF($E48="","",$S48*'参数配置'!$B$5)</f>
        <v/>
      </c>
      <c r="V48" s="57">
        <f>IF($E48="","",1-$H48-'参数配置'!$D$20-'参数配置'!$B$8-$G48-'参数配置'!$B$10-'参数配置'!$B$11-IF($E48&lt;='参数配置'!$B$7,'参数配置'!$B$6,0))</f>
        <v/>
      </c>
      <c r="W48" s="56">
        <f>IF($E48="","",$I48+$F48+$L48)</f>
        <v/>
      </c>
      <c r="X48" s="56">
        <f>IF($E48="","",IF($V48&gt;0,$W48/$V48,""))</f>
        <v/>
      </c>
      <c r="Y48" s="56">
        <f>IF($E48="","",IF(($V48-'参数配置'!$B$9)&gt;0,$W48/($V48-'参数配置'!$B$9),""))</f>
        <v/>
      </c>
      <c r="Z48" s="37">
        <f>IF($E48="","",IF(OR($C48="禁售",$C48="需资质"),"⛔"&amp;$C48&amp;"·不应进入利润表",IF($V48&lt;=0,"❗贡献率≤0·任何价都亏损",IF($E48&lt;$X48,"⛔低于保本价·亏损",IF($Y48="","⚠️目标不可达·需降本",IF($E48&lt;$Y48,"⚠️低于红线·未达目标利润率","✅达目标利润率"))))))</f>
        <v/>
      </c>
    </row>
    <row r="49">
      <c r="A49" s="52" t="n"/>
      <c r="B49" s="46">
        <f>IFERROR(VLOOKUP($A49,'SKU主表'!$A:$M,2,0),"")</f>
        <v/>
      </c>
      <c r="C49" s="47">
        <f>IFERROR(VLOOKUP($A49,'SKU主表'!$A:$M,9,0),"")</f>
        <v/>
      </c>
      <c r="D49" s="47">
        <f>IFERROR(VLOOKUP($A49,'SKU主表'!$A:$M,5,0),"")</f>
        <v/>
      </c>
      <c r="E49" s="58" t="n"/>
      <c r="F49" s="58" t="n"/>
      <c r="G49" s="59" t="n"/>
      <c r="H49" s="59">
        <f>'参数配置'!$D$22</f>
        <v/>
      </c>
      <c r="I49" s="56">
        <f>IF($D49="","",$D49/'参数配置'!$B$5)</f>
        <v/>
      </c>
      <c r="J49" s="56">
        <f>IF($E49="","",$E49*$H49)</f>
        <v/>
      </c>
      <c r="K49" s="56">
        <f>IF($E49="","",$E49*'参数配置'!$D$20)</f>
        <v/>
      </c>
      <c r="L49" s="56">
        <f>IF($E49="","",'参数配置'!$D$21)</f>
        <v/>
      </c>
      <c r="M49" s="56">
        <f>IF($E49="","",$E49*'参数配置'!$B$8)</f>
        <v/>
      </c>
      <c r="N49" s="56">
        <f>IF($E49="","",IF($E49&lt;='参数配置'!$B$7,$E49*'参数配置'!$B$6,0))</f>
        <v/>
      </c>
      <c r="O49" s="56">
        <f>IF($E49="","",$E49*$G49)</f>
        <v/>
      </c>
      <c r="P49" s="56">
        <f>IF($E49="","",$E49*'参数配置'!$B$10)</f>
        <v/>
      </c>
      <c r="Q49" s="56">
        <f>IF($E49="","",$E49*'参数配置'!$B$11)</f>
        <v/>
      </c>
      <c r="R49" s="56">
        <f>IF($E49="","",$I49+$F49+$J49+$K49+$L49+$M49+$N49+$O49+$P49+$Q49)</f>
        <v/>
      </c>
      <c r="S49" s="56">
        <f>IF($E49="","",$E49-$R49)</f>
        <v/>
      </c>
      <c r="T49" s="57">
        <f>IF(OR($E49="",$E49=0),"",$S49/$E49)</f>
        <v/>
      </c>
      <c r="U49" s="38">
        <f>IF($E49="","",$S49*'参数配置'!$B$5)</f>
        <v/>
      </c>
      <c r="V49" s="57">
        <f>IF($E49="","",1-$H49-'参数配置'!$D$20-'参数配置'!$B$8-$G49-'参数配置'!$B$10-'参数配置'!$B$11-IF($E49&lt;='参数配置'!$B$7,'参数配置'!$B$6,0))</f>
        <v/>
      </c>
      <c r="W49" s="56">
        <f>IF($E49="","",$I49+$F49+$L49)</f>
        <v/>
      </c>
      <c r="X49" s="56">
        <f>IF($E49="","",IF($V49&gt;0,$W49/$V49,""))</f>
        <v/>
      </c>
      <c r="Y49" s="56">
        <f>IF($E49="","",IF(($V49-'参数配置'!$B$9)&gt;0,$W49/($V49-'参数配置'!$B$9),""))</f>
        <v/>
      </c>
      <c r="Z49" s="37">
        <f>IF($E49="","",IF(OR($C49="禁售",$C49="需资质"),"⛔"&amp;$C49&amp;"·不应进入利润表",IF($V49&lt;=0,"❗贡献率≤0·任何价都亏损",IF($E49&lt;$X49,"⛔低于保本价·亏损",IF($Y49="","⚠️目标不可达·需降本",IF($E49&lt;$Y49,"⚠️低于红线·未达目标利润率","✅达目标利润率"))))))</f>
        <v/>
      </c>
    </row>
    <row r="50">
      <c r="A50" s="52" t="n"/>
      <c r="B50" s="46">
        <f>IFERROR(VLOOKUP($A50,'SKU主表'!$A:$M,2,0),"")</f>
        <v/>
      </c>
      <c r="C50" s="47">
        <f>IFERROR(VLOOKUP($A50,'SKU主表'!$A:$M,9,0),"")</f>
        <v/>
      </c>
      <c r="D50" s="47">
        <f>IFERROR(VLOOKUP($A50,'SKU主表'!$A:$M,5,0),"")</f>
        <v/>
      </c>
      <c r="E50" s="58" t="n"/>
      <c r="F50" s="58" t="n"/>
      <c r="G50" s="59" t="n"/>
      <c r="H50" s="59">
        <f>'参数配置'!$D$22</f>
        <v/>
      </c>
      <c r="I50" s="56">
        <f>IF($D50="","",$D50/'参数配置'!$B$5)</f>
        <v/>
      </c>
      <c r="J50" s="56">
        <f>IF($E50="","",$E50*$H50)</f>
        <v/>
      </c>
      <c r="K50" s="56">
        <f>IF($E50="","",$E50*'参数配置'!$D$20)</f>
        <v/>
      </c>
      <c r="L50" s="56">
        <f>IF($E50="","",'参数配置'!$D$21)</f>
        <v/>
      </c>
      <c r="M50" s="56">
        <f>IF($E50="","",$E50*'参数配置'!$B$8)</f>
        <v/>
      </c>
      <c r="N50" s="56">
        <f>IF($E50="","",IF($E50&lt;='参数配置'!$B$7,$E50*'参数配置'!$B$6,0))</f>
        <v/>
      </c>
      <c r="O50" s="56">
        <f>IF($E50="","",$E50*$G50)</f>
        <v/>
      </c>
      <c r="P50" s="56">
        <f>IF($E50="","",$E50*'参数配置'!$B$10)</f>
        <v/>
      </c>
      <c r="Q50" s="56">
        <f>IF($E50="","",$E50*'参数配置'!$B$11)</f>
        <v/>
      </c>
      <c r="R50" s="56">
        <f>IF($E50="","",$I50+$F50+$J50+$K50+$L50+$M50+$N50+$O50+$P50+$Q50)</f>
        <v/>
      </c>
      <c r="S50" s="56">
        <f>IF($E50="","",$E50-$R50)</f>
        <v/>
      </c>
      <c r="T50" s="57">
        <f>IF(OR($E50="",$E50=0),"",$S50/$E50)</f>
        <v/>
      </c>
      <c r="U50" s="38">
        <f>IF($E50="","",$S50*'参数配置'!$B$5)</f>
        <v/>
      </c>
      <c r="V50" s="57">
        <f>IF($E50="","",1-$H50-'参数配置'!$D$20-'参数配置'!$B$8-$G50-'参数配置'!$B$10-'参数配置'!$B$11-IF($E50&lt;='参数配置'!$B$7,'参数配置'!$B$6,0))</f>
        <v/>
      </c>
      <c r="W50" s="56">
        <f>IF($E50="","",$I50+$F50+$L50)</f>
        <v/>
      </c>
      <c r="X50" s="56">
        <f>IF($E50="","",IF($V50&gt;0,$W50/$V50,""))</f>
        <v/>
      </c>
      <c r="Y50" s="56">
        <f>IF($E50="","",IF(($V50-'参数配置'!$B$9)&gt;0,$W50/($V50-'参数配置'!$B$9),""))</f>
        <v/>
      </c>
      <c r="Z50" s="37">
        <f>IF($E50="","",IF(OR($C50="禁售",$C50="需资质"),"⛔"&amp;$C50&amp;"·不应进入利润表",IF($V50&lt;=0,"❗贡献率≤0·任何价都亏损",IF($E50&lt;$X50,"⛔低于保本价·亏损",IF($Y50="","⚠️目标不可达·需降本",IF($E50&lt;$Y50,"⚠️低于红线·未达目标利润率","✅达目标利润率"))))))</f>
        <v/>
      </c>
    </row>
    <row r="51">
      <c r="A51" s="52" t="n"/>
      <c r="B51" s="46">
        <f>IFERROR(VLOOKUP($A51,'SKU主表'!$A:$M,2,0),"")</f>
        <v/>
      </c>
      <c r="C51" s="47">
        <f>IFERROR(VLOOKUP($A51,'SKU主表'!$A:$M,9,0),"")</f>
        <v/>
      </c>
      <c r="D51" s="47">
        <f>IFERROR(VLOOKUP($A51,'SKU主表'!$A:$M,5,0),"")</f>
        <v/>
      </c>
      <c r="E51" s="58" t="n"/>
      <c r="F51" s="58" t="n"/>
      <c r="G51" s="59" t="n"/>
      <c r="H51" s="59">
        <f>'参数配置'!$D$22</f>
        <v/>
      </c>
      <c r="I51" s="56">
        <f>IF($D51="","",$D51/'参数配置'!$B$5)</f>
        <v/>
      </c>
      <c r="J51" s="56">
        <f>IF($E51="","",$E51*$H51)</f>
        <v/>
      </c>
      <c r="K51" s="56">
        <f>IF($E51="","",$E51*'参数配置'!$D$20)</f>
        <v/>
      </c>
      <c r="L51" s="56">
        <f>IF($E51="","",'参数配置'!$D$21)</f>
        <v/>
      </c>
      <c r="M51" s="56">
        <f>IF($E51="","",$E51*'参数配置'!$B$8)</f>
        <v/>
      </c>
      <c r="N51" s="56">
        <f>IF($E51="","",IF($E51&lt;='参数配置'!$B$7,$E51*'参数配置'!$B$6,0))</f>
        <v/>
      </c>
      <c r="O51" s="56">
        <f>IF($E51="","",$E51*$G51)</f>
        <v/>
      </c>
      <c r="P51" s="56">
        <f>IF($E51="","",$E51*'参数配置'!$B$10)</f>
        <v/>
      </c>
      <c r="Q51" s="56">
        <f>IF($E51="","",$E51*'参数配置'!$B$11)</f>
        <v/>
      </c>
      <c r="R51" s="56">
        <f>IF($E51="","",$I51+$F51+$J51+$K51+$L51+$M51+$N51+$O51+$P51+$Q51)</f>
        <v/>
      </c>
      <c r="S51" s="56">
        <f>IF($E51="","",$E51-$R51)</f>
        <v/>
      </c>
      <c r="T51" s="57">
        <f>IF(OR($E51="",$E51=0),"",$S51/$E51)</f>
        <v/>
      </c>
      <c r="U51" s="38">
        <f>IF($E51="","",$S51*'参数配置'!$B$5)</f>
        <v/>
      </c>
      <c r="V51" s="57">
        <f>IF($E51="","",1-$H51-'参数配置'!$D$20-'参数配置'!$B$8-$G51-'参数配置'!$B$10-'参数配置'!$B$11-IF($E51&lt;='参数配置'!$B$7,'参数配置'!$B$6,0))</f>
        <v/>
      </c>
      <c r="W51" s="56">
        <f>IF($E51="","",$I51+$F51+$L51)</f>
        <v/>
      </c>
      <c r="X51" s="56">
        <f>IF($E51="","",IF($V51&gt;0,$W51/$V51,""))</f>
        <v/>
      </c>
      <c r="Y51" s="56">
        <f>IF($E51="","",IF(($V51-'参数配置'!$B$9)&gt;0,$W51/($V51-'参数配置'!$B$9),""))</f>
        <v/>
      </c>
      <c r="Z51" s="37">
        <f>IF($E51="","",IF(OR($C51="禁售",$C51="需资质"),"⛔"&amp;$C51&amp;"·不应进入利润表",IF($V51&lt;=0,"❗贡献率≤0·任何价都亏损",IF($E51&lt;$X51,"⛔低于保本价·亏损",IF($Y51="","⚠️目标不可达·需降本",IF($E51&lt;$Y51,"⚠️低于红线·未达目标利润率","✅达目标利润率"))))))</f>
        <v/>
      </c>
    </row>
    <row r="52">
      <c r="A52" s="52" t="n"/>
      <c r="B52" s="46">
        <f>IFERROR(VLOOKUP($A52,'SKU主表'!$A:$M,2,0),"")</f>
        <v/>
      </c>
      <c r="C52" s="47">
        <f>IFERROR(VLOOKUP($A52,'SKU主表'!$A:$M,9,0),"")</f>
        <v/>
      </c>
      <c r="D52" s="47">
        <f>IFERROR(VLOOKUP($A52,'SKU主表'!$A:$M,5,0),"")</f>
        <v/>
      </c>
      <c r="E52" s="58" t="n"/>
      <c r="F52" s="58" t="n"/>
      <c r="G52" s="59" t="n"/>
      <c r="H52" s="59">
        <f>'参数配置'!$D$22</f>
        <v/>
      </c>
      <c r="I52" s="56">
        <f>IF($D52="","",$D52/'参数配置'!$B$5)</f>
        <v/>
      </c>
      <c r="J52" s="56">
        <f>IF($E52="","",$E52*$H52)</f>
        <v/>
      </c>
      <c r="K52" s="56">
        <f>IF($E52="","",$E52*'参数配置'!$D$20)</f>
        <v/>
      </c>
      <c r="L52" s="56">
        <f>IF($E52="","",'参数配置'!$D$21)</f>
        <v/>
      </c>
      <c r="M52" s="56">
        <f>IF($E52="","",$E52*'参数配置'!$B$8)</f>
        <v/>
      </c>
      <c r="N52" s="56">
        <f>IF($E52="","",IF($E52&lt;='参数配置'!$B$7,$E52*'参数配置'!$B$6,0))</f>
        <v/>
      </c>
      <c r="O52" s="56">
        <f>IF($E52="","",$E52*$G52)</f>
        <v/>
      </c>
      <c r="P52" s="56">
        <f>IF($E52="","",$E52*'参数配置'!$B$10)</f>
        <v/>
      </c>
      <c r="Q52" s="56">
        <f>IF($E52="","",$E52*'参数配置'!$B$11)</f>
        <v/>
      </c>
      <c r="R52" s="56">
        <f>IF($E52="","",$I52+$F52+$J52+$K52+$L52+$M52+$N52+$O52+$P52+$Q52)</f>
        <v/>
      </c>
      <c r="S52" s="56">
        <f>IF($E52="","",$E52-$R52)</f>
        <v/>
      </c>
      <c r="T52" s="57">
        <f>IF(OR($E52="",$E52=0),"",$S52/$E52)</f>
        <v/>
      </c>
      <c r="U52" s="38">
        <f>IF($E52="","",$S52*'参数配置'!$B$5)</f>
        <v/>
      </c>
      <c r="V52" s="57">
        <f>IF($E52="","",1-$H52-'参数配置'!$D$20-'参数配置'!$B$8-$G52-'参数配置'!$B$10-'参数配置'!$B$11-IF($E52&lt;='参数配置'!$B$7,'参数配置'!$B$6,0))</f>
        <v/>
      </c>
      <c r="W52" s="56">
        <f>IF($E52="","",$I52+$F52+$L52)</f>
        <v/>
      </c>
      <c r="X52" s="56">
        <f>IF($E52="","",IF($V52&gt;0,$W52/$V52,""))</f>
        <v/>
      </c>
      <c r="Y52" s="56">
        <f>IF($E52="","",IF(($V52-'参数配置'!$B$9)&gt;0,$W52/($V52-'参数配置'!$B$9),""))</f>
        <v/>
      </c>
      <c r="Z52" s="37">
        <f>IF($E52="","",IF(OR($C52="禁售",$C52="需资质"),"⛔"&amp;$C52&amp;"·不应进入利润表",IF($V52&lt;=0,"❗贡献率≤0·任何价都亏损",IF($E52&lt;$X52,"⛔低于保本价·亏损",IF($Y52="","⚠️目标不可达·需降本",IF($E52&lt;$Y52,"⚠️低于红线·未达目标利润率","✅达目标利润率"))))))</f>
        <v/>
      </c>
    </row>
    <row r="53">
      <c r="A53" s="52" t="n"/>
      <c r="B53" s="46">
        <f>IFERROR(VLOOKUP($A53,'SKU主表'!$A:$M,2,0),"")</f>
        <v/>
      </c>
      <c r="C53" s="47">
        <f>IFERROR(VLOOKUP($A53,'SKU主表'!$A:$M,9,0),"")</f>
        <v/>
      </c>
      <c r="D53" s="47">
        <f>IFERROR(VLOOKUP($A53,'SKU主表'!$A:$M,5,0),"")</f>
        <v/>
      </c>
      <c r="E53" s="58" t="n"/>
      <c r="F53" s="58" t="n"/>
      <c r="G53" s="59" t="n"/>
      <c r="H53" s="59">
        <f>'参数配置'!$D$22</f>
        <v/>
      </c>
      <c r="I53" s="56">
        <f>IF($D53="","",$D53/'参数配置'!$B$5)</f>
        <v/>
      </c>
      <c r="J53" s="56">
        <f>IF($E53="","",$E53*$H53)</f>
        <v/>
      </c>
      <c r="K53" s="56">
        <f>IF($E53="","",$E53*'参数配置'!$D$20)</f>
        <v/>
      </c>
      <c r="L53" s="56">
        <f>IF($E53="","",'参数配置'!$D$21)</f>
        <v/>
      </c>
      <c r="M53" s="56">
        <f>IF($E53="","",$E53*'参数配置'!$B$8)</f>
        <v/>
      </c>
      <c r="N53" s="56">
        <f>IF($E53="","",IF($E53&lt;='参数配置'!$B$7,$E53*'参数配置'!$B$6,0))</f>
        <v/>
      </c>
      <c r="O53" s="56">
        <f>IF($E53="","",$E53*$G53)</f>
        <v/>
      </c>
      <c r="P53" s="56">
        <f>IF($E53="","",$E53*'参数配置'!$B$10)</f>
        <v/>
      </c>
      <c r="Q53" s="56">
        <f>IF($E53="","",$E53*'参数配置'!$B$11)</f>
        <v/>
      </c>
      <c r="R53" s="56">
        <f>IF($E53="","",$I53+$F53+$J53+$K53+$L53+$M53+$N53+$O53+$P53+$Q53)</f>
        <v/>
      </c>
      <c r="S53" s="56">
        <f>IF($E53="","",$E53-$R53)</f>
        <v/>
      </c>
      <c r="T53" s="57">
        <f>IF(OR($E53="",$E53=0),"",$S53/$E53)</f>
        <v/>
      </c>
      <c r="U53" s="38">
        <f>IF($E53="","",$S53*'参数配置'!$B$5)</f>
        <v/>
      </c>
      <c r="V53" s="57">
        <f>IF($E53="","",1-$H53-'参数配置'!$D$20-'参数配置'!$B$8-$G53-'参数配置'!$B$10-'参数配置'!$B$11-IF($E53&lt;='参数配置'!$B$7,'参数配置'!$B$6,0))</f>
        <v/>
      </c>
      <c r="W53" s="56">
        <f>IF($E53="","",$I53+$F53+$L53)</f>
        <v/>
      </c>
      <c r="X53" s="56">
        <f>IF($E53="","",IF($V53&gt;0,$W53/$V53,""))</f>
        <v/>
      </c>
      <c r="Y53" s="56">
        <f>IF($E53="","",IF(($V53-'参数配置'!$B$9)&gt;0,$W53/($V53-'参数配置'!$B$9),""))</f>
        <v/>
      </c>
      <c r="Z53" s="37">
        <f>IF($E53="","",IF(OR($C53="禁售",$C53="需资质"),"⛔"&amp;$C53&amp;"·不应进入利润表",IF($V53&lt;=0,"❗贡献率≤0·任何价都亏损",IF($E53&lt;$X53,"⛔低于保本价·亏损",IF($Y53="","⚠️目标不可达·需降本",IF($E53&lt;$Y53,"⚠️低于红线·未达目标利润率","✅达目标利润率"))))))</f>
        <v/>
      </c>
    </row>
    <row r="54">
      <c r="A54" s="52" t="n"/>
      <c r="B54" s="46">
        <f>IFERROR(VLOOKUP($A54,'SKU主表'!$A:$M,2,0),"")</f>
        <v/>
      </c>
      <c r="C54" s="47">
        <f>IFERROR(VLOOKUP($A54,'SKU主表'!$A:$M,9,0),"")</f>
        <v/>
      </c>
      <c r="D54" s="47">
        <f>IFERROR(VLOOKUP($A54,'SKU主表'!$A:$M,5,0),"")</f>
        <v/>
      </c>
      <c r="E54" s="58" t="n"/>
      <c r="F54" s="58" t="n"/>
      <c r="G54" s="59" t="n"/>
      <c r="H54" s="59">
        <f>'参数配置'!$D$22</f>
        <v/>
      </c>
      <c r="I54" s="56">
        <f>IF($D54="","",$D54/'参数配置'!$B$5)</f>
        <v/>
      </c>
      <c r="J54" s="56">
        <f>IF($E54="","",$E54*$H54)</f>
        <v/>
      </c>
      <c r="K54" s="56">
        <f>IF($E54="","",$E54*'参数配置'!$D$20)</f>
        <v/>
      </c>
      <c r="L54" s="56">
        <f>IF($E54="","",'参数配置'!$D$21)</f>
        <v/>
      </c>
      <c r="M54" s="56">
        <f>IF($E54="","",$E54*'参数配置'!$B$8)</f>
        <v/>
      </c>
      <c r="N54" s="56">
        <f>IF($E54="","",IF($E54&lt;='参数配置'!$B$7,$E54*'参数配置'!$B$6,0))</f>
        <v/>
      </c>
      <c r="O54" s="56">
        <f>IF($E54="","",$E54*$G54)</f>
        <v/>
      </c>
      <c r="P54" s="56">
        <f>IF($E54="","",$E54*'参数配置'!$B$10)</f>
        <v/>
      </c>
      <c r="Q54" s="56">
        <f>IF($E54="","",$E54*'参数配置'!$B$11)</f>
        <v/>
      </c>
      <c r="R54" s="56">
        <f>IF($E54="","",$I54+$F54+$J54+$K54+$L54+$M54+$N54+$O54+$P54+$Q54)</f>
        <v/>
      </c>
      <c r="S54" s="56">
        <f>IF($E54="","",$E54-$R54)</f>
        <v/>
      </c>
      <c r="T54" s="57">
        <f>IF(OR($E54="",$E54=0),"",$S54/$E54)</f>
        <v/>
      </c>
      <c r="U54" s="38">
        <f>IF($E54="","",$S54*'参数配置'!$B$5)</f>
        <v/>
      </c>
      <c r="V54" s="57">
        <f>IF($E54="","",1-$H54-'参数配置'!$D$20-'参数配置'!$B$8-$G54-'参数配置'!$B$10-'参数配置'!$B$11-IF($E54&lt;='参数配置'!$B$7,'参数配置'!$B$6,0))</f>
        <v/>
      </c>
      <c r="W54" s="56">
        <f>IF($E54="","",$I54+$F54+$L54)</f>
        <v/>
      </c>
      <c r="X54" s="56">
        <f>IF($E54="","",IF($V54&gt;0,$W54/$V54,""))</f>
        <v/>
      </c>
      <c r="Y54" s="56">
        <f>IF($E54="","",IF(($V54-'参数配置'!$B$9)&gt;0,$W54/($V54-'参数配置'!$B$9),""))</f>
        <v/>
      </c>
      <c r="Z54" s="37">
        <f>IF($E54="","",IF(OR($C54="禁售",$C54="需资质"),"⛔"&amp;$C54&amp;"·不应进入利润表",IF($V54&lt;=0,"❗贡献率≤0·任何价都亏损",IF($E54&lt;$X54,"⛔低于保本价·亏损",IF($Y54="","⚠️目标不可达·需降本",IF($E54&lt;$Y54,"⚠️低于红线·未达目标利润率","✅达目标利润率"))))))</f>
        <v/>
      </c>
    </row>
    <row r="55">
      <c r="A55" s="52" t="n"/>
      <c r="B55" s="46">
        <f>IFERROR(VLOOKUP($A55,'SKU主表'!$A:$M,2,0),"")</f>
        <v/>
      </c>
      <c r="C55" s="47">
        <f>IFERROR(VLOOKUP($A55,'SKU主表'!$A:$M,9,0),"")</f>
        <v/>
      </c>
      <c r="D55" s="47">
        <f>IFERROR(VLOOKUP($A55,'SKU主表'!$A:$M,5,0),"")</f>
        <v/>
      </c>
      <c r="E55" s="58" t="n"/>
      <c r="F55" s="58" t="n"/>
      <c r="G55" s="59" t="n"/>
      <c r="H55" s="59">
        <f>'参数配置'!$D$22</f>
        <v/>
      </c>
      <c r="I55" s="56">
        <f>IF($D55="","",$D55/'参数配置'!$B$5)</f>
        <v/>
      </c>
      <c r="J55" s="56">
        <f>IF($E55="","",$E55*$H55)</f>
        <v/>
      </c>
      <c r="K55" s="56">
        <f>IF($E55="","",$E55*'参数配置'!$D$20)</f>
        <v/>
      </c>
      <c r="L55" s="56">
        <f>IF($E55="","",'参数配置'!$D$21)</f>
        <v/>
      </c>
      <c r="M55" s="56">
        <f>IF($E55="","",$E55*'参数配置'!$B$8)</f>
        <v/>
      </c>
      <c r="N55" s="56">
        <f>IF($E55="","",IF($E55&lt;='参数配置'!$B$7,$E55*'参数配置'!$B$6,0))</f>
        <v/>
      </c>
      <c r="O55" s="56">
        <f>IF($E55="","",$E55*$G55)</f>
        <v/>
      </c>
      <c r="P55" s="56">
        <f>IF($E55="","",$E55*'参数配置'!$B$10)</f>
        <v/>
      </c>
      <c r="Q55" s="56">
        <f>IF($E55="","",$E55*'参数配置'!$B$11)</f>
        <v/>
      </c>
      <c r="R55" s="56">
        <f>IF($E55="","",$I55+$F55+$J55+$K55+$L55+$M55+$N55+$O55+$P55+$Q55)</f>
        <v/>
      </c>
      <c r="S55" s="56">
        <f>IF($E55="","",$E55-$R55)</f>
        <v/>
      </c>
      <c r="T55" s="57">
        <f>IF(OR($E55="",$E55=0),"",$S55/$E55)</f>
        <v/>
      </c>
      <c r="U55" s="38">
        <f>IF($E55="","",$S55*'参数配置'!$B$5)</f>
        <v/>
      </c>
      <c r="V55" s="57">
        <f>IF($E55="","",1-$H55-'参数配置'!$D$20-'参数配置'!$B$8-$G55-'参数配置'!$B$10-'参数配置'!$B$11-IF($E55&lt;='参数配置'!$B$7,'参数配置'!$B$6,0))</f>
        <v/>
      </c>
      <c r="W55" s="56">
        <f>IF($E55="","",$I55+$F55+$L55)</f>
        <v/>
      </c>
      <c r="X55" s="56">
        <f>IF($E55="","",IF($V55&gt;0,$W55/$V55,""))</f>
        <v/>
      </c>
      <c r="Y55" s="56">
        <f>IF($E55="","",IF(($V55-'参数配置'!$B$9)&gt;0,$W55/($V55-'参数配置'!$B$9),""))</f>
        <v/>
      </c>
      <c r="Z55" s="37">
        <f>IF($E55="","",IF(OR($C55="禁售",$C55="需资质"),"⛔"&amp;$C55&amp;"·不应进入利润表",IF($V55&lt;=0,"❗贡献率≤0·任何价都亏损",IF($E55&lt;$X55,"⛔低于保本价·亏损",IF($Y55="","⚠️目标不可达·需降本",IF($E55&lt;$Y55,"⚠️低于红线·未达目标利润率","✅达目标利润率"))))))</f>
        <v/>
      </c>
    </row>
    <row r="56">
      <c r="A56" s="52" t="n"/>
      <c r="B56" s="46">
        <f>IFERROR(VLOOKUP($A56,'SKU主表'!$A:$M,2,0),"")</f>
        <v/>
      </c>
      <c r="C56" s="47">
        <f>IFERROR(VLOOKUP($A56,'SKU主表'!$A:$M,9,0),"")</f>
        <v/>
      </c>
      <c r="D56" s="47">
        <f>IFERROR(VLOOKUP($A56,'SKU主表'!$A:$M,5,0),"")</f>
        <v/>
      </c>
      <c r="E56" s="58" t="n"/>
      <c r="F56" s="58" t="n"/>
      <c r="G56" s="59" t="n"/>
      <c r="H56" s="59">
        <f>'参数配置'!$D$22</f>
        <v/>
      </c>
      <c r="I56" s="56">
        <f>IF($D56="","",$D56/'参数配置'!$B$5)</f>
        <v/>
      </c>
      <c r="J56" s="56">
        <f>IF($E56="","",$E56*$H56)</f>
        <v/>
      </c>
      <c r="K56" s="56">
        <f>IF($E56="","",$E56*'参数配置'!$D$20)</f>
        <v/>
      </c>
      <c r="L56" s="56">
        <f>IF($E56="","",'参数配置'!$D$21)</f>
        <v/>
      </c>
      <c r="M56" s="56">
        <f>IF($E56="","",$E56*'参数配置'!$B$8)</f>
        <v/>
      </c>
      <c r="N56" s="56">
        <f>IF($E56="","",IF($E56&lt;='参数配置'!$B$7,$E56*'参数配置'!$B$6,0))</f>
        <v/>
      </c>
      <c r="O56" s="56">
        <f>IF($E56="","",$E56*$G56)</f>
        <v/>
      </c>
      <c r="P56" s="56">
        <f>IF($E56="","",$E56*'参数配置'!$B$10)</f>
        <v/>
      </c>
      <c r="Q56" s="56">
        <f>IF($E56="","",$E56*'参数配置'!$B$11)</f>
        <v/>
      </c>
      <c r="R56" s="56">
        <f>IF($E56="","",$I56+$F56+$J56+$K56+$L56+$M56+$N56+$O56+$P56+$Q56)</f>
        <v/>
      </c>
      <c r="S56" s="56">
        <f>IF($E56="","",$E56-$R56)</f>
        <v/>
      </c>
      <c r="T56" s="57">
        <f>IF(OR($E56="",$E56=0),"",$S56/$E56)</f>
        <v/>
      </c>
      <c r="U56" s="38">
        <f>IF($E56="","",$S56*'参数配置'!$B$5)</f>
        <v/>
      </c>
      <c r="V56" s="57">
        <f>IF($E56="","",1-$H56-'参数配置'!$D$20-'参数配置'!$B$8-$G56-'参数配置'!$B$10-'参数配置'!$B$11-IF($E56&lt;='参数配置'!$B$7,'参数配置'!$B$6,0))</f>
        <v/>
      </c>
      <c r="W56" s="56">
        <f>IF($E56="","",$I56+$F56+$L56)</f>
        <v/>
      </c>
      <c r="X56" s="56">
        <f>IF($E56="","",IF($V56&gt;0,$W56/$V56,""))</f>
        <v/>
      </c>
      <c r="Y56" s="56">
        <f>IF($E56="","",IF(($V56-'参数配置'!$B$9)&gt;0,$W56/($V56-'参数配置'!$B$9),""))</f>
        <v/>
      </c>
      <c r="Z56" s="37">
        <f>IF($E56="","",IF(OR($C56="禁售",$C56="需资质"),"⛔"&amp;$C56&amp;"·不应进入利润表",IF($V56&lt;=0,"❗贡献率≤0·任何价都亏损",IF($E56&lt;$X56,"⛔低于保本价·亏损",IF($Y56="","⚠️目标不可达·需降本",IF($E56&lt;$Y56,"⚠️低于红线·未达目标利润率","✅达目标利润率"))))))</f>
        <v/>
      </c>
    </row>
    <row r="57">
      <c r="A57" s="52" t="n"/>
      <c r="B57" s="46">
        <f>IFERROR(VLOOKUP($A57,'SKU主表'!$A:$M,2,0),"")</f>
        <v/>
      </c>
      <c r="C57" s="47">
        <f>IFERROR(VLOOKUP($A57,'SKU主表'!$A:$M,9,0),"")</f>
        <v/>
      </c>
      <c r="D57" s="47">
        <f>IFERROR(VLOOKUP($A57,'SKU主表'!$A:$M,5,0),"")</f>
        <v/>
      </c>
      <c r="E57" s="58" t="n"/>
      <c r="F57" s="58" t="n"/>
      <c r="G57" s="59" t="n"/>
      <c r="H57" s="59">
        <f>'参数配置'!$D$22</f>
        <v/>
      </c>
      <c r="I57" s="56">
        <f>IF($D57="","",$D57/'参数配置'!$B$5)</f>
        <v/>
      </c>
      <c r="J57" s="56">
        <f>IF($E57="","",$E57*$H57)</f>
        <v/>
      </c>
      <c r="K57" s="56">
        <f>IF($E57="","",$E57*'参数配置'!$D$20)</f>
        <v/>
      </c>
      <c r="L57" s="56">
        <f>IF($E57="","",'参数配置'!$D$21)</f>
        <v/>
      </c>
      <c r="M57" s="56">
        <f>IF($E57="","",$E57*'参数配置'!$B$8)</f>
        <v/>
      </c>
      <c r="N57" s="56">
        <f>IF($E57="","",IF($E57&lt;='参数配置'!$B$7,$E57*'参数配置'!$B$6,0))</f>
        <v/>
      </c>
      <c r="O57" s="56">
        <f>IF($E57="","",$E57*$G57)</f>
        <v/>
      </c>
      <c r="P57" s="56">
        <f>IF($E57="","",$E57*'参数配置'!$B$10)</f>
        <v/>
      </c>
      <c r="Q57" s="56">
        <f>IF($E57="","",$E57*'参数配置'!$B$11)</f>
        <v/>
      </c>
      <c r="R57" s="56">
        <f>IF($E57="","",$I57+$F57+$J57+$K57+$L57+$M57+$N57+$O57+$P57+$Q57)</f>
        <v/>
      </c>
      <c r="S57" s="56">
        <f>IF($E57="","",$E57-$R57)</f>
        <v/>
      </c>
      <c r="T57" s="57">
        <f>IF(OR($E57="",$E57=0),"",$S57/$E57)</f>
        <v/>
      </c>
      <c r="U57" s="38">
        <f>IF($E57="","",$S57*'参数配置'!$B$5)</f>
        <v/>
      </c>
      <c r="V57" s="57">
        <f>IF($E57="","",1-$H57-'参数配置'!$D$20-'参数配置'!$B$8-$G57-'参数配置'!$B$10-'参数配置'!$B$11-IF($E57&lt;='参数配置'!$B$7,'参数配置'!$B$6,0))</f>
        <v/>
      </c>
      <c r="W57" s="56">
        <f>IF($E57="","",$I57+$F57+$L57)</f>
        <v/>
      </c>
      <c r="X57" s="56">
        <f>IF($E57="","",IF($V57&gt;0,$W57/$V57,""))</f>
        <v/>
      </c>
      <c r="Y57" s="56">
        <f>IF($E57="","",IF(($V57-'参数配置'!$B$9)&gt;0,$W57/($V57-'参数配置'!$B$9),""))</f>
        <v/>
      </c>
      <c r="Z57" s="37">
        <f>IF($E57="","",IF(OR($C57="禁售",$C57="需资质"),"⛔"&amp;$C57&amp;"·不应进入利润表",IF($V57&lt;=0,"❗贡献率≤0·任何价都亏损",IF($E57&lt;$X57,"⛔低于保本价·亏损",IF($Y57="","⚠️目标不可达·需降本",IF($E57&lt;$Y57,"⚠️低于红线·未达目标利润率","✅达目标利润率"))))))</f>
        <v/>
      </c>
    </row>
    <row r="58">
      <c r="A58" s="52" t="n"/>
      <c r="B58" s="46">
        <f>IFERROR(VLOOKUP($A58,'SKU主表'!$A:$M,2,0),"")</f>
        <v/>
      </c>
      <c r="C58" s="47">
        <f>IFERROR(VLOOKUP($A58,'SKU主表'!$A:$M,9,0),"")</f>
        <v/>
      </c>
      <c r="D58" s="47">
        <f>IFERROR(VLOOKUP($A58,'SKU主表'!$A:$M,5,0),"")</f>
        <v/>
      </c>
      <c r="E58" s="58" t="n"/>
      <c r="F58" s="58" t="n"/>
      <c r="G58" s="59" t="n"/>
      <c r="H58" s="59">
        <f>'参数配置'!$D$22</f>
        <v/>
      </c>
      <c r="I58" s="56">
        <f>IF($D58="","",$D58/'参数配置'!$B$5)</f>
        <v/>
      </c>
      <c r="J58" s="56">
        <f>IF($E58="","",$E58*$H58)</f>
        <v/>
      </c>
      <c r="K58" s="56">
        <f>IF($E58="","",$E58*'参数配置'!$D$20)</f>
        <v/>
      </c>
      <c r="L58" s="56">
        <f>IF($E58="","",'参数配置'!$D$21)</f>
        <v/>
      </c>
      <c r="M58" s="56">
        <f>IF($E58="","",$E58*'参数配置'!$B$8)</f>
        <v/>
      </c>
      <c r="N58" s="56">
        <f>IF($E58="","",IF($E58&lt;='参数配置'!$B$7,$E58*'参数配置'!$B$6,0))</f>
        <v/>
      </c>
      <c r="O58" s="56">
        <f>IF($E58="","",$E58*$G58)</f>
        <v/>
      </c>
      <c r="P58" s="56">
        <f>IF($E58="","",$E58*'参数配置'!$B$10)</f>
        <v/>
      </c>
      <c r="Q58" s="56">
        <f>IF($E58="","",$E58*'参数配置'!$B$11)</f>
        <v/>
      </c>
      <c r="R58" s="56">
        <f>IF($E58="","",$I58+$F58+$J58+$K58+$L58+$M58+$N58+$O58+$P58+$Q58)</f>
        <v/>
      </c>
      <c r="S58" s="56">
        <f>IF($E58="","",$E58-$R58)</f>
        <v/>
      </c>
      <c r="T58" s="57">
        <f>IF(OR($E58="",$E58=0),"",$S58/$E58)</f>
        <v/>
      </c>
      <c r="U58" s="38">
        <f>IF($E58="","",$S58*'参数配置'!$B$5)</f>
        <v/>
      </c>
      <c r="V58" s="57">
        <f>IF($E58="","",1-$H58-'参数配置'!$D$20-'参数配置'!$B$8-$G58-'参数配置'!$B$10-'参数配置'!$B$11-IF($E58&lt;='参数配置'!$B$7,'参数配置'!$B$6,0))</f>
        <v/>
      </c>
      <c r="W58" s="56">
        <f>IF($E58="","",$I58+$F58+$L58)</f>
        <v/>
      </c>
      <c r="X58" s="56">
        <f>IF($E58="","",IF($V58&gt;0,$W58/$V58,""))</f>
        <v/>
      </c>
      <c r="Y58" s="56">
        <f>IF($E58="","",IF(($V58-'参数配置'!$B$9)&gt;0,$W58/($V58-'参数配置'!$B$9),""))</f>
        <v/>
      </c>
      <c r="Z58" s="37">
        <f>IF($E58="","",IF(OR($C58="禁售",$C58="需资质"),"⛔"&amp;$C58&amp;"·不应进入利润表",IF($V58&lt;=0,"❗贡献率≤0·任何价都亏损",IF($E58&lt;$X58,"⛔低于保本价·亏损",IF($Y58="","⚠️目标不可达·需降本",IF($E58&lt;$Y58,"⚠️低于红线·未达目标利润率","✅达目标利润率"))))))</f>
        <v/>
      </c>
    </row>
    <row r="59">
      <c r="A59" s="52" t="n"/>
      <c r="B59" s="46">
        <f>IFERROR(VLOOKUP($A59,'SKU主表'!$A:$M,2,0),"")</f>
        <v/>
      </c>
      <c r="C59" s="47">
        <f>IFERROR(VLOOKUP($A59,'SKU主表'!$A:$M,9,0),"")</f>
        <v/>
      </c>
      <c r="D59" s="47">
        <f>IFERROR(VLOOKUP($A59,'SKU主表'!$A:$M,5,0),"")</f>
        <v/>
      </c>
      <c r="E59" s="58" t="n"/>
      <c r="F59" s="58" t="n"/>
      <c r="G59" s="59" t="n"/>
      <c r="H59" s="59">
        <f>'参数配置'!$D$22</f>
        <v/>
      </c>
      <c r="I59" s="56">
        <f>IF($D59="","",$D59/'参数配置'!$B$5)</f>
        <v/>
      </c>
      <c r="J59" s="56">
        <f>IF($E59="","",$E59*$H59)</f>
        <v/>
      </c>
      <c r="K59" s="56">
        <f>IF($E59="","",$E59*'参数配置'!$D$20)</f>
        <v/>
      </c>
      <c r="L59" s="56">
        <f>IF($E59="","",'参数配置'!$D$21)</f>
        <v/>
      </c>
      <c r="M59" s="56">
        <f>IF($E59="","",$E59*'参数配置'!$B$8)</f>
        <v/>
      </c>
      <c r="N59" s="56">
        <f>IF($E59="","",IF($E59&lt;='参数配置'!$B$7,$E59*'参数配置'!$B$6,0))</f>
        <v/>
      </c>
      <c r="O59" s="56">
        <f>IF($E59="","",$E59*$G59)</f>
        <v/>
      </c>
      <c r="P59" s="56">
        <f>IF($E59="","",$E59*'参数配置'!$B$10)</f>
        <v/>
      </c>
      <c r="Q59" s="56">
        <f>IF($E59="","",$E59*'参数配置'!$B$11)</f>
        <v/>
      </c>
      <c r="R59" s="56">
        <f>IF($E59="","",$I59+$F59+$J59+$K59+$L59+$M59+$N59+$O59+$P59+$Q59)</f>
        <v/>
      </c>
      <c r="S59" s="56">
        <f>IF($E59="","",$E59-$R59)</f>
        <v/>
      </c>
      <c r="T59" s="57">
        <f>IF(OR($E59="",$E59=0),"",$S59/$E59)</f>
        <v/>
      </c>
      <c r="U59" s="38">
        <f>IF($E59="","",$S59*'参数配置'!$B$5)</f>
        <v/>
      </c>
      <c r="V59" s="57">
        <f>IF($E59="","",1-$H59-'参数配置'!$D$20-'参数配置'!$B$8-$G59-'参数配置'!$B$10-'参数配置'!$B$11-IF($E59&lt;='参数配置'!$B$7,'参数配置'!$B$6,0))</f>
        <v/>
      </c>
      <c r="W59" s="56">
        <f>IF($E59="","",$I59+$F59+$L59)</f>
        <v/>
      </c>
      <c r="X59" s="56">
        <f>IF($E59="","",IF($V59&gt;0,$W59/$V59,""))</f>
        <v/>
      </c>
      <c r="Y59" s="56">
        <f>IF($E59="","",IF(($V59-'参数配置'!$B$9)&gt;0,$W59/($V59-'参数配置'!$B$9),""))</f>
        <v/>
      </c>
      <c r="Z59" s="37">
        <f>IF($E59="","",IF(OR($C59="禁售",$C59="需资质"),"⛔"&amp;$C59&amp;"·不应进入利润表",IF($V59&lt;=0,"❗贡献率≤0·任何价都亏损",IF($E59&lt;$X59,"⛔低于保本价·亏损",IF($Y59="","⚠️目标不可达·需降本",IF($E59&lt;$Y59,"⚠️低于红线·未达目标利润率","✅达目标利润率"))))))</f>
        <v/>
      </c>
    </row>
    <row r="60">
      <c r="A60" s="52" t="n"/>
      <c r="B60" s="46">
        <f>IFERROR(VLOOKUP($A60,'SKU主表'!$A:$M,2,0),"")</f>
        <v/>
      </c>
      <c r="C60" s="47">
        <f>IFERROR(VLOOKUP($A60,'SKU主表'!$A:$M,9,0),"")</f>
        <v/>
      </c>
      <c r="D60" s="47">
        <f>IFERROR(VLOOKUP($A60,'SKU主表'!$A:$M,5,0),"")</f>
        <v/>
      </c>
      <c r="E60" s="58" t="n"/>
      <c r="F60" s="58" t="n"/>
      <c r="G60" s="59" t="n"/>
      <c r="H60" s="59">
        <f>'参数配置'!$D$22</f>
        <v/>
      </c>
      <c r="I60" s="56">
        <f>IF($D60="","",$D60/'参数配置'!$B$5)</f>
        <v/>
      </c>
      <c r="J60" s="56">
        <f>IF($E60="","",$E60*$H60)</f>
        <v/>
      </c>
      <c r="K60" s="56">
        <f>IF($E60="","",$E60*'参数配置'!$D$20)</f>
        <v/>
      </c>
      <c r="L60" s="56">
        <f>IF($E60="","",'参数配置'!$D$21)</f>
        <v/>
      </c>
      <c r="M60" s="56">
        <f>IF($E60="","",$E60*'参数配置'!$B$8)</f>
        <v/>
      </c>
      <c r="N60" s="56">
        <f>IF($E60="","",IF($E60&lt;='参数配置'!$B$7,$E60*'参数配置'!$B$6,0))</f>
        <v/>
      </c>
      <c r="O60" s="56">
        <f>IF($E60="","",$E60*$G60)</f>
        <v/>
      </c>
      <c r="P60" s="56">
        <f>IF($E60="","",$E60*'参数配置'!$B$10)</f>
        <v/>
      </c>
      <c r="Q60" s="56">
        <f>IF($E60="","",$E60*'参数配置'!$B$11)</f>
        <v/>
      </c>
      <c r="R60" s="56">
        <f>IF($E60="","",$I60+$F60+$J60+$K60+$L60+$M60+$N60+$O60+$P60+$Q60)</f>
        <v/>
      </c>
      <c r="S60" s="56">
        <f>IF($E60="","",$E60-$R60)</f>
        <v/>
      </c>
      <c r="T60" s="57">
        <f>IF(OR($E60="",$E60=0),"",$S60/$E60)</f>
        <v/>
      </c>
      <c r="U60" s="38">
        <f>IF($E60="","",$S60*'参数配置'!$B$5)</f>
        <v/>
      </c>
      <c r="V60" s="57">
        <f>IF($E60="","",1-$H60-'参数配置'!$D$20-'参数配置'!$B$8-$G60-'参数配置'!$B$10-'参数配置'!$B$11-IF($E60&lt;='参数配置'!$B$7,'参数配置'!$B$6,0))</f>
        <v/>
      </c>
      <c r="W60" s="56">
        <f>IF($E60="","",$I60+$F60+$L60)</f>
        <v/>
      </c>
      <c r="X60" s="56">
        <f>IF($E60="","",IF($V60&gt;0,$W60/$V60,""))</f>
        <v/>
      </c>
      <c r="Y60" s="56">
        <f>IF($E60="","",IF(($V60-'参数配置'!$B$9)&gt;0,$W60/($V60-'参数配置'!$B$9),""))</f>
        <v/>
      </c>
      <c r="Z60" s="37">
        <f>IF($E60="","",IF(OR($C60="禁售",$C60="需资质"),"⛔"&amp;$C60&amp;"·不应进入利润表",IF($V60&lt;=0,"❗贡献率≤0·任何价都亏损",IF($E60&lt;$X60,"⛔低于保本价·亏损",IF($Y60="","⚠️目标不可达·需降本",IF($E60&lt;$Y60,"⚠️低于红线·未达目标利润率","✅达目标利润率"))))))</f>
        <v/>
      </c>
    </row>
    <row r="61">
      <c r="A61" s="52" t="n"/>
      <c r="B61" s="46">
        <f>IFERROR(VLOOKUP($A61,'SKU主表'!$A:$M,2,0),"")</f>
        <v/>
      </c>
      <c r="C61" s="47">
        <f>IFERROR(VLOOKUP($A61,'SKU主表'!$A:$M,9,0),"")</f>
        <v/>
      </c>
      <c r="D61" s="47">
        <f>IFERROR(VLOOKUP($A61,'SKU主表'!$A:$M,5,0),"")</f>
        <v/>
      </c>
      <c r="E61" s="58" t="n"/>
      <c r="F61" s="58" t="n"/>
      <c r="G61" s="59" t="n"/>
      <c r="H61" s="59">
        <f>'参数配置'!$D$22</f>
        <v/>
      </c>
      <c r="I61" s="56">
        <f>IF($D61="","",$D61/'参数配置'!$B$5)</f>
        <v/>
      </c>
      <c r="J61" s="56">
        <f>IF($E61="","",$E61*$H61)</f>
        <v/>
      </c>
      <c r="K61" s="56">
        <f>IF($E61="","",$E61*'参数配置'!$D$20)</f>
        <v/>
      </c>
      <c r="L61" s="56">
        <f>IF($E61="","",'参数配置'!$D$21)</f>
        <v/>
      </c>
      <c r="M61" s="56">
        <f>IF($E61="","",$E61*'参数配置'!$B$8)</f>
        <v/>
      </c>
      <c r="N61" s="56">
        <f>IF($E61="","",IF($E61&lt;='参数配置'!$B$7,$E61*'参数配置'!$B$6,0))</f>
        <v/>
      </c>
      <c r="O61" s="56">
        <f>IF($E61="","",$E61*$G61)</f>
        <v/>
      </c>
      <c r="P61" s="56">
        <f>IF($E61="","",$E61*'参数配置'!$B$10)</f>
        <v/>
      </c>
      <c r="Q61" s="56">
        <f>IF($E61="","",$E61*'参数配置'!$B$11)</f>
        <v/>
      </c>
      <c r="R61" s="56">
        <f>IF($E61="","",$I61+$F61+$J61+$K61+$L61+$M61+$N61+$O61+$P61+$Q61)</f>
        <v/>
      </c>
      <c r="S61" s="56">
        <f>IF($E61="","",$E61-$R61)</f>
        <v/>
      </c>
      <c r="T61" s="57">
        <f>IF(OR($E61="",$E61=0),"",$S61/$E61)</f>
        <v/>
      </c>
      <c r="U61" s="38">
        <f>IF($E61="","",$S61*'参数配置'!$B$5)</f>
        <v/>
      </c>
      <c r="V61" s="57">
        <f>IF($E61="","",1-$H61-'参数配置'!$D$20-'参数配置'!$B$8-$G61-'参数配置'!$B$10-'参数配置'!$B$11-IF($E61&lt;='参数配置'!$B$7,'参数配置'!$B$6,0))</f>
        <v/>
      </c>
      <c r="W61" s="56">
        <f>IF($E61="","",$I61+$F61+$L61)</f>
        <v/>
      </c>
      <c r="X61" s="56">
        <f>IF($E61="","",IF($V61&gt;0,$W61/$V61,""))</f>
        <v/>
      </c>
      <c r="Y61" s="56">
        <f>IF($E61="","",IF(($V61-'参数配置'!$B$9)&gt;0,$W61/($V61-'参数配置'!$B$9),""))</f>
        <v/>
      </c>
      <c r="Z61" s="37">
        <f>IF($E61="","",IF(OR($C61="禁售",$C61="需资质"),"⛔"&amp;$C61&amp;"·不应进入利润表",IF($V61&lt;=0,"❗贡献率≤0·任何价都亏损",IF($E61&lt;$X61,"⛔低于保本价·亏损",IF($Y61="","⚠️目标不可达·需降本",IF($E61&lt;$Y61,"⚠️低于红线·未达目标利润率","✅达目标利润率"))))))</f>
        <v/>
      </c>
    </row>
    <row r="62">
      <c r="A62" s="52" t="n"/>
      <c r="B62" s="46">
        <f>IFERROR(VLOOKUP($A62,'SKU主表'!$A:$M,2,0),"")</f>
        <v/>
      </c>
      <c r="C62" s="47">
        <f>IFERROR(VLOOKUP($A62,'SKU主表'!$A:$M,9,0),"")</f>
        <v/>
      </c>
      <c r="D62" s="47">
        <f>IFERROR(VLOOKUP($A62,'SKU主表'!$A:$M,5,0),"")</f>
        <v/>
      </c>
      <c r="E62" s="58" t="n"/>
      <c r="F62" s="58" t="n"/>
      <c r="G62" s="59" t="n"/>
      <c r="H62" s="59">
        <f>'参数配置'!$D$22</f>
        <v/>
      </c>
      <c r="I62" s="56">
        <f>IF($D62="","",$D62/'参数配置'!$B$5)</f>
        <v/>
      </c>
      <c r="J62" s="56">
        <f>IF($E62="","",$E62*$H62)</f>
        <v/>
      </c>
      <c r="K62" s="56">
        <f>IF($E62="","",$E62*'参数配置'!$D$20)</f>
        <v/>
      </c>
      <c r="L62" s="56">
        <f>IF($E62="","",'参数配置'!$D$21)</f>
        <v/>
      </c>
      <c r="M62" s="56">
        <f>IF($E62="","",$E62*'参数配置'!$B$8)</f>
        <v/>
      </c>
      <c r="N62" s="56">
        <f>IF($E62="","",IF($E62&lt;='参数配置'!$B$7,$E62*'参数配置'!$B$6,0))</f>
        <v/>
      </c>
      <c r="O62" s="56">
        <f>IF($E62="","",$E62*$G62)</f>
        <v/>
      </c>
      <c r="P62" s="56">
        <f>IF($E62="","",$E62*'参数配置'!$B$10)</f>
        <v/>
      </c>
      <c r="Q62" s="56">
        <f>IF($E62="","",$E62*'参数配置'!$B$11)</f>
        <v/>
      </c>
      <c r="R62" s="56">
        <f>IF($E62="","",$I62+$F62+$J62+$K62+$L62+$M62+$N62+$O62+$P62+$Q62)</f>
        <v/>
      </c>
      <c r="S62" s="56">
        <f>IF($E62="","",$E62-$R62)</f>
        <v/>
      </c>
      <c r="T62" s="57">
        <f>IF(OR($E62="",$E62=0),"",$S62/$E62)</f>
        <v/>
      </c>
      <c r="U62" s="38">
        <f>IF($E62="","",$S62*'参数配置'!$B$5)</f>
        <v/>
      </c>
      <c r="V62" s="57">
        <f>IF($E62="","",1-$H62-'参数配置'!$D$20-'参数配置'!$B$8-$G62-'参数配置'!$B$10-'参数配置'!$B$11-IF($E62&lt;='参数配置'!$B$7,'参数配置'!$B$6,0))</f>
        <v/>
      </c>
      <c r="W62" s="56">
        <f>IF($E62="","",$I62+$F62+$L62)</f>
        <v/>
      </c>
      <c r="X62" s="56">
        <f>IF($E62="","",IF($V62&gt;0,$W62/$V62,""))</f>
        <v/>
      </c>
      <c r="Y62" s="56">
        <f>IF($E62="","",IF(($V62-'参数配置'!$B$9)&gt;0,$W62/($V62-'参数配置'!$B$9),""))</f>
        <v/>
      </c>
      <c r="Z62" s="37">
        <f>IF($E62="","",IF(OR($C62="禁售",$C62="需资质"),"⛔"&amp;$C62&amp;"·不应进入利润表",IF($V62&lt;=0,"❗贡献率≤0·任何价都亏损",IF($E62&lt;$X62,"⛔低于保本价·亏损",IF($Y62="","⚠️目标不可达·需降本",IF($E62&lt;$Y62,"⚠️低于红线·未达目标利润率","✅达目标利润率"))))))</f>
        <v/>
      </c>
    </row>
    <row r="63">
      <c r="A63" s="52" t="n"/>
      <c r="B63" s="46">
        <f>IFERROR(VLOOKUP($A63,'SKU主表'!$A:$M,2,0),"")</f>
        <v/>
      </c>
      <c r="C63" s="47">
        <f>IFERROR(VLOOKUP($A63,'SKU主表'!$A:$M,9,0),"")</f>
        <v/>
      </c>
      <c r="D63" s="47">
        <f>IFERROR(VLOOKUP($A63,'SKU主表'!$A:$M,5,0),"")</f>
        <v/>
      </c>
      <c r="E63" s="58" t="n"/>
      <c r="F63" s="58" t="n"/>
      <c r="G63" s="59" t="n"/>
      <c r="H63" s="59">
        <f>'参数配置'!$D$22</f>
        <v/>
      </c>
      <c r="I63" s="56">
        <f>IF($D63="","",$D63/'参数配置'!$B$5)</f>
        <v/>
      </c>
      <c r="J63" s="56">
        <f>IF($E63="","",$E63*$H63)</f>
        <v/>
      </c>
      <c r="K63" s="56">
        <f>IF($E63="","",$E63*'参数配置'!$D$20)</f>
        <v/>
      </c>
      <c r="L63" s="56">
        <f>IF($E63="","",'参数配置'!$D$21)</f>
        <v/>
      </c>
      <c r="M63" s="56">
        <f>IF($E63="","",$E63*'参数配置'!$B$8)</f>
        <v/>
      </c>
      <c r="N63" s="56">
        <f>IF($E63="","",IF($E63&lt;='参数配置'!$B$7,$E63*'参数配置'!$B$6,0))</f>
        <v/>
      </c>
      <c r="O63" s="56">
        <f>IF($E63="","",$E63*$G63)</f>
        <v/>
      </c>
      <c r="P63" s="56">
        <f>IF($E63="","",$E63*'参数配置'!$B$10)</f>
        <v/>
      </c>
      <c r="Q63" s="56">
        <f>IF($E63="","",$E63*'参数配置'!$B$11)</f>
        <v/>
      </c>
      <c r="R63" s="56">
        <f>IF($E63="","",$I63+$F63+$J63+$K63+$L63+$M63+$N63+$O63+$P63+$Q63)</f>
        <v/>
      </c>
      <c r="S63" s="56">
        <f>IF($E63="","",$E63-$R63)</f>
        <v/>
      </c>
      <c r="T63" s="57">
        <f>IF(OR($E63="",$E63=0),"",$S63/$E63)</f>
        <v/>
      </c>
      <c r="U63" s="38">
        <f>IF($E63="","",$S63*'参数配置'!$B$5)</f>
        <v/>
      </c>
      <c r="V63" s="57">
        <f>IF($E63="","",1-$H63-'参数配置'!$D$20-'参数配置'!$B$8-$G63-'参数配置'!$B$10-'参数配置'!$B$11-IF($E63&lt;='参数配置'!$B$7,'参数配置'!$B$6,0))</f>
        <v/>
      </c>
      <c r="W63" s="56">
        <f>IF($E63="","",$I63+$F63+$L63)</f>
        <v/>
      </c>
      <c r="X63" s="56">
        <f>IF($E63="","",IF($V63&gt;0,$W63/$V63,""))</f>
        <v/>
      </c>
      <c r="Y63" s="56">
        <f>IF($E63="","",IF(($V63-'参数配置'!$B$9)&gt;0,$W63/($V63-'参数配置'!$B$9),""))</f>
        <v/>
      </c>
      <c r="Z63" s="37">
        <f>IF($E63="","",IF(OR($C63="禁售",$C63="需资质"),"⛔"&amp;$C63&amp;"·不应进入利润表",IF($V63&lt;=0,"❗贡献率≤0·任何价都亏损",IF($E63&lt;$X63,"⛔低于保本价·亏损",IF($Y63="","⚠️目标不可达·需降本",IF($E63&lt;$Y63,"⚠️低于红线·未达目标利润率","✅达目标利润率"))))))</f>
        <v/>
      </c>
    </row>
    <row r="64">
      <c r="A64" s="52" t="n"/>
      <c r="B64" s="46">
        <f>IFERROR(VLOOKUP($A64,'SKU主表'!$A:$M,2,0),"")</f>
        <v/>
      </c>
      <c r="C64" s="47">
        <f>IFERROR(VLOOKUP($A64,'SKU主表'!$A:$M,9,0),"")</f>
        <v/>
      </c>
      <c r="D64" s="47">
        <f>IFERROR(VLOOKUP($A64,'SKU主表'!$A:$M,5,0),"")</f>
        <v/>
      </c>
      <c r="E64" s="58" t="n"/>
      <c r="F64" s="58" t="n"/>
      <c r="G64" s="59" t="n"/>
      <c r="H64" s="59">
        <f>'参数配置'!$D$22</f>
        <v/>
      </c>
      <c r="I64" s="56">
        <f>IF($D64="","",$D64/'参数配置'!$B$5)</f>
        <v/>
      </c>
      <c r="J64" s="56">
        <f>IF($E64="","",$E64*$H64)</f>
        <v/>
      </c>
      <c r="K64" s="56">
        <f>IF($E64="","",$E64*'参数配置'!$D$20)</f>
        <v/>
      </c>
      <c r="L64" s="56">
        <f>IF($E64="","",'参数配置'!$D$21)</f>
        <v/>
      </c>
      <c r="M64" s="56">
        <f>IF($E64="","",$E64*'参数配置'!$B$8)</f>
        <v/>
      </c>
      <c r="N64" s="56">
        <f>IF($E64="","",IF($E64&lt;='参数配置'!$B$7,$E64*'参数配置'!$B$6,0))</f>
        <v/>
      </c>
      <c r="O64" s="56">
        <f>IF($E64="","",$E64*$G64)</f>
        <v/>
      </c>
      <c r="P64" s="56">
        <f>IF($E64="","",$E64*'参数配置'!$B$10)</f>
        <v/>
      </c>
      <c r="Q64" s="56">
        <f>IF($E64="","",$E64*'参数配置'!$B$11)</f>
        <v/>
      </c>
      <c r="R64" s="56">
        <f>IF($E64="","",$I64+$F64+$J64+$K64+$L64+$M64+$N64+$O64+$P64+$Q64)</f>
        <v/>
      </c>
      <c r="S64" s="56">
        <f>IF($E64="","",$E64-$R64)</f>
        <v/>
      </c>
      <c r="T64" s="57">
        <f>IF(OR($E64="",$E64=0),"",$S64/$E64)</f>
        <v/>
      </c>
      <c r="U64" s="38">
        <f>IF($E64="","",$S64*'参数配置'!$B$5)</f>
        <v/>
      </c>
      <c r="V64" s="57">
        <f>IF($E64="","",1-$H64-'参数配置'!$D$20-'参数配置'!$B$8-$G64-'参数配置'!$B$10-'参数配置'!$B$11-IF($E64&lt;='参数配置'!$B$7,'参数配置'!$B$6,0))</f>
        <v/>
      </c>
      <c r="W64" s="56">
        <f>IF($E64="","",$I64+$F64+$L64)</f>
        <v/>
      </c>
      <c r="X64" s="56">
        <f>IF($E64="","",IF($V64&gt;0,$W64/$V64,""))</f>
        <v/>
      </c>
      <c r="Y64" s="56">
        <f>IF($E64="","",IF(($V64-'参数配置'!$B$9)&gt;0,$W64/($V64-'参数配置'!$B$9),""))</f>
        <v/>
      </c>
      <c r="Z64" s="37">
        <f>IF($E64="","",IF(OR($C64="禁售",$C64="需资质"),"⛔"&amp;$C64&amp;"·不应进入利润表",IF($V64&lt;=0,"❗贡献率≤0·任何价都亏损",IF($E64&lt;$X64,"⛔低于保本价·亏损",IF($Y64="","⚠️目标不可达·需降本",IF($E64&lt;$Y64,"⚠️低于红线·未达目标利润率","✅达目标利润率"))))))</f>
        <v/>
      </c>
    </row>
    <row r="65">
      <c r="A65" s="52" t="n"/>
      <c r="B65" s="46">
        <f>IFERROR(VLOOKUP($A65,'SKU主表'!$A:$M,2,0),"")</f>
        <v/>
      </c>
      <c r="C65" s="47">
        <f>IFERROR(VLOOKUP($A65,'SKU主表'!$A:$M,9,0),"")</f>
        <v/>
      </c>
      <c r="D65" s="47">
        <f>IFERROR(VLOOKUP($A65,'SKU主表'!$A:$M,5,0),"")</f>
        <v/>
      </c>
      <c r="E65" s="58" t="n"/>
      <c r="F65" s="58" t="n"/>
      <c r="G65" s="59" t="n"/>
      <c r="H65" s="59">
        <f>'参数配置'!$D$22</f>
        <v/>
      </c>
      <c r="I65" s="56">
        <f>IF($D65="","",$D65/'参数配置'!$B$5)</f>
        <v/>
      </c>
      <c r="J65" s="56">
        <f>IF($E65="","",$E65*$H65)</f>
        <v/>
      </c>
      <c r="K65" s="56">
        <f>IF($E65="","",$E65*'参数配置'!$D$20)</f>
        <v/>
      </c>
      <c r="L65" s="56">
        <f>IF($E65="","",'参数配置'!$D$21)</f>
        <v/>
      </c>
      <c r="M65" s="56">
        <f>IF($E65="","",$E65*'参数配置'!$B$8)</f>
        <v/>
      </c>
      <c r="N65" s="56">
        <f>IF($E65="","",IF($E65&lt;='参数配置'!$B$7,$E65*'参数配置'!$B$6,0))</f>
        <v/>
      </c>
      <c r="O65" s="56">
        <f>IF($E65="","",$E65*$G65)</f>
        <v/>
      </c>
      <c r="P65" s="56">
        <f>IF($E65="","",$E65*'参数配置'!$B$10)</f>
        <v/>
      </c>
      <c r="Q65" s="56">
        <f>IF($E65="","",$E65*'参数配置'!$B$11)</f>
        <v/>
      </c>
      <c r="R65" s="56">
        <f>IF($E65="","",$I65+$F65+$J65+$K65+$L65+$M65+$N65+$O65+$P65+$Q65)</f>
        <v/>
      </c>
      <c r="S65" s="56">
        <f>IF($E65="","",$E65-$R65)</f>
        <v/>
      </c>
      <c r="T65" s="57">
        <f>IF(OR($E65="",$E65=0),"",$S65/$E65)</f>
        <v/>
      </c>
      <c r="U65" s="38">
        <f>IF($E65="","",$S65*'参数配置'!$B$5)</f>
        <v/>
      </c>
      <c r="V65" s="57">
        <f>IF($E65="","",1-$H65-'参数配置'!$D$20-'参数配置'!$B$8-$G65-'参数配置'!$B$10-'参数配置'!$B$11-IF($E65&lt;='参数配置'!$B$7,'参数配置'!$B$6,0))</f>
        <v/>
      </c>
      <c r="W65" s="56">
        <f>IF($E65="","",$I65+$F65+$L65)</f>
        <v/>
      </c>
      <c r="X65" s="56">
        <f>IF($E65="","",IF($V65&gt;0,$W65/$V65,""))</f>
        <v/>
      </c>
      <c r="Y65" s="56">
        <f>IF($E65="","",IF(($V65-'参数配置'!$B$9)&gt;0,$W65/($V65-'参数配置'!$B$9),""))</f>
        <v/>
      </c>
      <c r="Z65" s="37">
        <f>IF($E65="","",IF(OR($C65="禁售",$C65="需资质"),"⛔"&amp;$C65&amp;"·不应进入利润表",IF($V65&lt;=0,"❗贡献率≤0·任何价都亏损",IF($E65&lt;$X65,"⛔低于保本价·亏损",IF($Y65="","⚠️目标不可达·需降本",IF($E65&lt;$Y65,"⚠️低于红线·未达目标利润率","✅达目标利润率"))))))</f>
        <v/>
      </c>
    </row>
    <row r="66">
      <c r="A66" s="52" t="n"/>
      <c r="B66" s="46">
        <f>IFERROR(VLOOKUP($A66,'SKU主表'!$A:$M,2,0),"")</f>
        <v/>
      </c>
      <c r="C66" s="47">
        <f>IFERROR(VLOOKUP($A66,'SKU主表'!$A:$M,9,0),"")</f>
        <v/>
      </c>
      <c r="D66" s="47">
        <f>IFERROR(VLOOKUP($A66,'SKU主表'!$A:$M,5,0),"")</f>
        <v/>
      </c>
      <c r="E66" s="58" t="n"/>
      <c r="F66" s="58" t="n"/>
      <c r="G66" s="59" t="n"/>
      <c r="H66" s="59">
        <f>'参数配置'!$D$22</f>
        <v/>
      </c>
      <c r="I66" s="56">
        <f>IF($D66="","",$D66/'参数配置'!$B$5)</f>
        <v/>
      </c>
      <c r="J66" s="56">
        <f>IF($E66="","",$E66*$H66)</f>
        <v/>
      </c>
      <c r="K66" s="56">
        <f>IF($E66="","",$E66*'参数配置'!$D$20)</f>
        <v/>
      </c>
      <c r="L66" s="56">
        <f>IF($E66="","",'参数配置'!$D$21)</f>
        <v/>
      </c>
      <c r="M66" s="56">
        <f>IF($E66="","",$E66*'参数配置'!$B$8)</f>
        <v/>
      </c>
      <c r="N66" s="56">
        <f>IF($E66="","",IF($E66&lt;='参数配置'!$B$7,$E66*'参数配置'!$B$6,0))</f>
        <v/>
      </c>
      <c r="O66" s="56">
        <f>IF($E66="","",$E66*$G66)</f>
        <v/>
      </c>
      <c r="P66" s="56">
        <f>IF($E66="","",$E66*'参数配置'!$B$10)</f>
        <v/>
      </c>
      <c r="Q66" s="56">
        <f>IF($E66="","",$E66*'参数配置'!$B$11)</f>
        <v/>
      </c>
      <c r="R66" s="56">
        <f>IF($E66="","",$I66+$F66+$J66+$K66+$L66+$M66+$N66+$O66+$P66+$Q66)</f>
        <v/>
      </c>
      <c r="S66" s="56">
        <f>IF($E66="","",$E66-$R66)</f>
        <v/>
      </c>
      <c r="T66" s="57">
        <f>IF(OR($E66="",$E66=0),"",$S66/$E66)</f>
        <v/>
      </c>
      <c r="U66" s="38">
        <f>IF($E66="","",$S66*'参数配置'!$B$5)</f>
        <v/>
      </c>
      <c r="V66" s="57">
        <f>IF($E66="","",1-$H66-'参数配置'!$D$20-'参数配置'!$B$8-$G66-'参数配置'!$B$10-'参数配置'!$B$11-IF($E66&lt;='参数配置'!$B$7,'参数配置'!$B$6,0))</f>
        <v/>
      </c>
      <c r="W66" s="56">
        <f>IF($E66="","",$I66+$F66+$L66)</f>
        <v/>
      </c>
      <c r="X66" s="56">
        <f>IF($E66="","",IF($V66&gt;0,$W66/$V66,""))</f>
        <v/>
      </c>
      <c r="Y66" s="56">
        <f>IF($E66="","",IF(($V66-'参数配置'!$B$9)&gt;0,$W66/($V66-'参数配置'!$B$9),""))</f>
        <v/>
      </c>
      <c r="Z66" s="37">
        <f>IF($E66="","",IF(OR($C66="禁售",$C66="需资质"),"⛔"&amp;$C66&amp;"·不应进入利润表",IF($V66&lt;=0,"❗贡献率≤0·任何价都亏损",IF($E66&lt;$X66,"⛔低于保本价·亏损",IF($Y66="","⚠️目标不可达·需降本",IF($E66&lt;$Y66,"⚠️低于红线·未达目标利润率","✅达目标利润率"))))))</f>
        <v/>
      </c>
    </row>
    <row r="67">
      <c r="A67" s="52" t="n"/>
      <c r="B67" s="46">
        <f>IFERROR(VLOOKUP($A67,'SKU主表'!$A:$M,2,0),"")</f>
        <v/>
      </c>
      <c r="C67" s="47">
        <f>IFERROR(VLOOKUP($A67,'SKU主表'!$A:$M,9,0),"")</f>
        <v/>
      </c>
      <c r="D67" s="47">
        <f>IFERROR(VLOOKUP($A67,'SKU主表'!$A:$M,5,0),"")</f>
        <v/>
      </c>
      <c r="E67" s="58" t="n"/>
      <c r="F67" s="58" t="n"/>
      <c r="G67" s="59" t="n"/>
      <c r="H67" s="59">
        <f>'参数配置'!$D$22</f>
        <v/>
      </c>
      <c r="I67" s="56">
        <f>IF($D67="","",$D67/'参数配置'!$B$5)</f>
        <v/>
      </c>
      <c r="J67" s="56">
        <f>IF($E67="","",$E67*$H67)</f>
        <v/>
      </c>
      <c r="K67" s="56">
        <f>IF($E67="","",$E67*'参数配置'!$D$20)</f>
        <v/>
      </c>
      <c r="L67" s="56">
        <f>IF($E67="","",'参数配置'!$D$21)</f>
        <v/>
      </c>
      <c r="M67" s="56">
        <f>IF($E67="","",$E67*'参数配置'!$B$8)</f>
        <v/>
      </c>
      <c r="N67" s="56">
        <f>IF($E67="","",IF($E67&lt;='参数配置'!$B$7,$E67*'参数配置'!$B$6,0))</f>
        <v/>
      </c>
      <c r="O67" s="56">
        <f>IF($E67="","",$E67*$G67)</f>
        <v/>
      </c>
      <c r="P67" s="56">
        <f>IF($E67="","",$E67*'参数配置'!$B$10)</f>
        <v/>
      </c>
      <c r="Q67" s="56">
        <f>IF($E67="","",$E67*'参数配置'!$B$11)</f>
        <v/>
      </c>
      <c r="R67" s="56">
        <f>IF($E67="","",$I67+$F67+$J67+$K67+$L67+$M67+$N67+$O67+$P67+$Q67)</f>
        <v/>
      </c>
      <c r="S67" s="56">
        <f>IF($E67="","",$E67-$R67)</f>
        <v/>
      </c>
      <c r="T67" s="57">
        <f>IF(OR($E67="",$E67=0),"",$S67/$E67)</f>
        <v/>
      </c>
      <c r="U67" s="38">
        <f>IF($E67="","",$S67*'参数配置'!$B$5)</f>
        <v/>
      </c>
      <c r="V67" s="57">
        <f>IF($E67="","",1-$H67-'参数配置'!$D$20-'参数配置'!$B$8-$G67-'参数配置'!$B$10-'参数配置'!$B$11-IF($E67&lt;='参数配置'!$B$7,'参数配置'!$B$6,0))</f>
        <v/>
      </c>
      <c r="W67" s="56">
        <f>IF($E67="","",$I67+$F67+$L67)</f>
        <v/>
      </c>
      <c r="X67" s="56">
        <f>IF($E67="","",IF($V67&gt;0,$W67/$V67,""))</f>
        <v/>
      </c>
      <c r="Y67" s="56">
        <f>IF($E67="","",IF(($V67-'参数配置'!$B$9)&gt;0,$W67/($V67-'参数配置'!$B$9),""))</f>
        <v/>
      </c>
      <c r="Z67" s="37">
        <f>IF($E67="","",IF(OR($C67="禁售",$C67="需资质"),"⛔"&amp;$C67&amp;"·不应进入利润表",IF($V67&lt;=0,"❗贡献率≤0·任何价都亏损",IF($E67&lt;$X67,"⛔低于保本价·亏损",IF($Y67="","⚠️目标不可达·需降本",IF($E67&lt;$Y67,"⚠️低于红线·未达目标利润率","✅达目标利润率"))))))</f>
        <v/>
      </c>
    </row>
    <row r="68">
      <c r="A68" s="52" t="n"/>
      <c r="B68" s="46">
        <f>IFERROR(VLOOKUP($A68,'SKU主表'!$A:$M,2,0),"")</f>
        <v/>
      </c>
      <c r="C68" s="47">
        <f>IFERROR(VLOOKUP($A68,'SKU主表'!$A:$M,9,0),"")</f>
        <v/>
      </c>
      <c r="D68" s="47">
        <f>IFERROR(VLOOKUP($A68,'SKU主表'!$A:$M,5,0),"")</f>
        <v/>
      </c>
      <c r="E68" s="58" t="n"/>
      <c r="F68" s="58" t="n"/>
      <c r="G68" s="59" t="n"/>
      <c r="H68" s="59">
        <f>'参数配置'!$D$22</f>
        <v/>
      </c>
      <c r="I68" s="56">
        <f>IF($D68="","",$D68/'参数配置'!$B$5)</f>
        <v/>
      </c>
      <c r="J68" s="56">
        <f>IF($E68="","",$E68*$H68)</f>
        <v/>
      </c>
      <c r="K68" s="56">
        <f>IF($E68="","",$E68*'参数配置'!$D$20)</f>
        <v/>
      </c>
      <c r="L68" s="56">
        <f>IF($E68="","",'参数配置'!$D$21)</f>
        <v/>
      </c>
      <c r="M68" s="56">
        <f>IF($E68="","",$E68*'参数配置'!$B$8)</f>
        <v/>
      </c>
      <c r="N68" s="56">
        <f>IF($E68="","",IF($E68&lt;='参数配置'!$B$7,$E68*'参数配置'!$B$6,0))</f>
        <v/>
      </c>
      <c r="O68" s="56">
        <f>IF($E68="","",$E68*$G68)</f>
        <v/>
      </c>
      <c r="P68" s="56">
        <f>IF($E68="","",$E68*'参数配置'!$B$10)</f>
        <v/>
      </c>
      <c r="Q68" s="56">
        <f>IF($E68="","",$E68*'参数配置'!$B$11)</f>
        <v/>
      </c>
      <c r="R68" s="56">
        <f>IF($E68="","",$I68+$F68+$J68+$K68+$L68+$M68+$N68+$O68+$P68+$Q68)</f>
        <v/>
      </c>
      <c r="S68" s="56">
        <f>IF($E68="","",$E68-$R68)</f>
        <v/>
      </c>
      <c r="T68" s="57">
        <f>IF(OR($E68="",$E68=0),"",$S68/$E68)</f>
        <v/>
      </c>
      <c r="U68" s="38">
        <f>IF($E68="","",$S68*'参数配置'!$B$5)</f>
        <v/>
      </c>
      <c r="V68" s="57">
        <f>IF($E68="","",1-$H68-'参数配置'!$D$20-'参数配置'!$B$8-$G68-'参数配置'!$B$10-'参数配置'!$B$11-IF($E68&lt;='参数配置'!$B$7,'参数配置'!$B$6,0))</f>
        <v/>
      </c>
      <c r="W68" s="56">
        <f>IF($E68="","",$I68+$F68+$L68)</f>
        <v/>
      </c>
      <c r="X68" s="56">
        <f>IF($E68="","",IF($V68&gt;0,$W68/$V68,""))</f>
        <v/>
      </c>
      <c r="Y68" s="56">
        <f>IF($E68="","",IF(($V68-'参数配置'!$B$9)&gt;0,$W68/($V68-'参数配置'!$B$9),""))</f>
        <v/>
      </c>
      <c r="Z68" s="37">
        <f>IF($E68="","",IF(OR($C68="禁售",$C68="需资质"),"⛔"&amp;$C68&amp;"·不应进入利润表",IF($V68&lt;=0,"❗贡献率≤0·任何价都亏损",IF($E68&lt;$X68,"⛔低于保本价·亏损",IF($Y68="","⚠️目标不可达·需降本",IF($E68&lt;$Y68,"⚠️低于红线·未达目标利润率","✅达目标利润率"))))))</f>
        <v/>
      </c>
    </row>
    <row r="69">
      <c r="A69" s="52" t="n"/>
      <c r="B69" s="46">
        <f>IFERROR(VLOOKUP($A69,'SKU主表'!$A:$M,2,0),"")</f>
        <v/>
      </c>
      <c r="C69" s="47">
        <f>IFERROR(VLOOKUP($A69,'SKU主表'!$A:$M,9,0),"")</f>
        <v/>
      </c>
      <c r="D69" s="47">
        <f>IFERROR(VLOOKUP($A69,'SKU主表'!$A:$M,5,0),"")</f>
        <v/>
      </c>
      <c r="E69" s="58" t="n"/>
      <c r="F69" s="58" t="n"/>
      <c r="G69" s="59" t="n"/>
      <c r="H69" s="59">
        <f>'参数配置'!$D$22</f>
        <v/>
      </c>
      <c r="I69" s="56">
        <f>IF($D69="","",$D69/'参数配置'!$B$5)</f>
        <v/>
      </c>
      <c r="J69" s="56">
        <f>IF($E69="","",$E69*$H69)</f>
        <v/>
      </c>
      <c r="K69" s="56">
        <f>IF($E69="","",$E69*'参数配置'!$D$20)</f>
        <v/>
      </c>
      <c r="L69" s="56">
        <f>IF($E69="","",'参数配置'!$D$21)</f>
        <v/>
      </c>
      <c r="M69" s="56">
        <f>IF($E69="","",$E69*'参数配置'!$B$8)</f>
        <v/>
      </c>
      <c r="N69" s="56">
        <f>IF($E69="","",IF($E69&lt;='参数配置'!$B$7,$E69*'参数配置'!$B$6,0))</f>
        <v/>
      </c>
      <c r="O69" s="56">
        <f>IF($E69="","",$E69*$G69)</f>
        <v/>
      </c>
      <c r="P69" s="56">
        <f>IF($E69="","",$E69*'参数配置'!$B$10)</f>
        <v/>
      </c>
      <c r="Q69" s="56">
        <f>IF($E69="","",$E69*'参数配置'!$B$11)</f>
        <v/>
      </c>
      <c r="R69" s="56">
        <f>IF($E69="","",$I69+$F69+$J69+$K69+$L69+$M69+$N69+$O69+$P69+$Q69)</f>
        <v/>
      </c>
      <c r="S69" s="56">
        <f>IF($E69="","",$E69-$R69)</f>
        <v/>
      </c>
      <c r="T69" s="57">
        <f>IF(OR($E69="",$E69=0),"",$S69/$E69)</f>
        <v/>
      </c>
      <c r="U69" s="38">
        <f>IF($E69="","",$S69*'参数配置'!$B$5)</f>
        <v/>
      </c>
      <c r="V69" s="57">
        <f>IF($E69="","",1-$H69-'参数配置'!$D$20-'参数配置'!$B$8-$G69-'参数配置'!$B$10-'参数配置'!$B$11-IF($E69&lt;='参数配置'!$B$7,'参数配置'!$B$6,0))</f>
        <v/>
      </c>
      <c r="W69" s="56">
        <f>IF($E69="","",$I69+$F69+$L69)</f>
        <v/>
      </c>
      <c r="X69" s="56">
        <f>IF($E69="","",IF($V69&gt;0,$W69/$V69,""))</f>
        <v/>
      </c>
      <c r="Y69" s="56">
        <f>IF($E69="","",IF(($V69-'参数配置'!$B$9)&gt;0,$W69/($V69-'参数配置'!$B$9),""))</f>
        <v/>
      </c>
      <c r="Z69" s="37">
        <f>IF($E69="","",IF(OR($C69="禁售",$C69="需资质"),"⛔"&amp;$C69&amp;"·不应进入利润表",IF($V69&lt;=0,"❗贡献率≤0·任何价都亏损",IF($E69&lt;$X69,"⛔低于保本价·亏损",IF($Y69="","⚠️目标不可达·需降本",IF($E69&lt;$Y69,"⚠️低于红线·未达目标利润率","✅达目标利润率"))))))</f>
        <v/>
      </c>
    </row>
    <row r="70">
      <c r="A70" s="52" t="n"/>
      <c r="B70" s="46">
        <f>IFERROR(VLOOKUP($A70,'SKU主表'!$A:$M,2,0),"")</f>
        <v/>
      </c>
      <c r="C70" s="47">
        <f>IFERROR(VLOOKUP($A70,'SKU主表'!$A:$M,9,0),"")</f>
        <v/>
      </c>
      <c r="D70" s="47">
        <f>IFERROR(VLOOKUP($A70,'SKU主表'!$A:$M,5,0),"")</f>
        <v/>
      </c>
      <c r="E70" s="58" t="n"/>
      <c r="F70" s="58" t="n"/>
      <c r="G70" s="59" t="n"/>
      <c r="H70" s="59">
        <f>'参数配置'!$D$22</f>
        <v/>
      </c>
      <c r="I70" s="56">
        <f>IF($D70="","",$D70/'参数配置'!$B$5)</f>
        <v/>
      </c>
      <c r="J70" s="56">
        <f>IF($E70="","",$E70*$H70)</f>
        <v/>
      </c>
      <c r="K70" s="56">
        <f>IF($E70="","",$E70*'参数配置'!$D$20)</f>
        <v/>
      </c>
      <c r="L70" s="56">
        <f>IF($E70="","",'参数配置'!$D$21)</f>
        <v/>
      </c>
      <c r="M70" s="56">
        <f>IF($E70="","",$E70*'参数配置'!$B$8)</f>
        <v/>
      </c>
      <c r="N70" s="56">
        <f>IF($E70="","",IF($E70&lt;='参数配置'!$B$7,$E70*'参数配置'!$B$6,0))</f>
        <v/>
      </c>
      <c r="O70" s="56">
        <f>IF($E70="","",$E70*$G70)</f>
        <v/>
      </c>
      <c r="P70" s="56">
        <f>IF($E70="","",$E70*'参数配置'!$B$10)</f>
        <v/>
      </c>
      <c r="Q70" s="56">
        <f>IF($E70="","",$E70*'参数配置'!$B$11)</f>
        <v/>
      </c>
      <c r="R70" s="56">
        <f>IF($E70="","",$I70+$F70+$J70+$K70+$L70+$M70+$N70+$O70+$P70+$Q70)</f>
        <v/>
      </c>
      <c r="S70" s="56">
        <f>IF($E70="","",$E70-$R70)</f>
        <v/>
      </c>
      <c r="T70" s="57">
        <f>IF(OR($E70="",$E70=0),"",$S70/$E70)</f>
        <v/>
      </c>
      <c r="U70" s="38">
        <f>IF($E70="","",$S70*'参数配置'!$B$5)</f>
        <v/>
      </c>
      <c r="V70" s="57">
        <f>IF($E70="","",1-$H70-'参数配置'!$D$20-'参数配置'!$B$8-$G70-'参数配置'!$B$10-'参数配置'!$B$11-IF($E70&lt;='参数配置'!$B$7,'参数配置'!$B$6,0))</f>
        <v/>
      </c>
      <c r="W70" s="56">
        <f>IF($E70="","",$I70+$F70+$L70)</f>
        <v/>
      </c>
      <c r="X70" s="56">
        <f>IF($E70="","",IF($V70&gt;0,$W70/$V70,""))</f>
        <v/>
      </c>
      <c r="Y70" s="56">
        <f>IF($E70="","",IF(($V70-'参数配置'!$B$9)&gt;0,$W70/($V70-'参数配置'!$B$9),""))</f>
        <v/>
      </c>
      <c r="Z70" s="37">
        <f>IF($E70="","",IF(OR($C70="禁售",$C70="需资质"),"⛔"&amp;$C70&amp;"·不应进入利润表",IF($V70&lt;=0,"❗贡献率≤0·任何价都亏损",IF($E70&lt;$X70,"⛔低于保本价·亏损",IF($Y70="","⚠️目标不可达·需降本",IF($E70&lt;$Y70,"⚠️低于红线·未达目标利润率","✅达目标利润率"))))))</f>
        <v/>
      </c>
    </row>
    <row r="71">
      <c r="A71" s="52" t="n"/>
      <c r="B71" s="46">
        <f>IFERROR(VLOOKUP($A71,'SKU主表'!$A:$M,2,0),"")</f>
        <v/>
      </c>
      <c r="C71" s="47">
        <f>IFERROR(VLOOKUP($A71,'SKU主表'!$A:$M,9,0),"")</f>
        <v/>
      </c>
      <c r="D71" s="47">
        <f>IFERROR(VLOOKUP($A71,'SKU主表'!$A:$M,5,0),"")</f>
        <v/>
      </c>
      <c r="E71" s="58" t="n"/>
      <c r="F71" s="58" t="n"/>
      <c r="G71" s="59" t="n"/>
      <c r="H71" s="59">
        <f>'参数配置'!$D$22</f>
        <v/>
      </c>
      <c r="I71" s="56">
        <f>IF($D71="","",$D71/'参数配置'!$B$5)</f>
        <v/>
      </c>
      <c r="J71" s="56">
        <f>IF($E71="","",$E71*$H71)</f>
        <v/>
      </c>
      <c r="K71" s="56">
        <f>IF($E71="","",$E71*'参数配置'!$D$20)</f>
        <v/>
      </c>
      <c r="L71" s="56">
        <f>IF($E71="","",'参数配置'!$D$21)</f>
        <v/>
      </c>
      <c r="M71" s="56">
        <f>IF($E71="","",$E71*'参数配置'!$B$8)</f>
        <v/>
      </c>
      <c r="N71" s="56">
        <f>IF($E71="","",IF($E71&lt;='参数配置'!$B$7,$E71*'参数配置'!$B$6,0))</f>
        <v/>
      </c>
      <c r="O71" s="56">
        <f>IF($E71="","",$E71*$G71)</f>
        <v/>
      </c>
      <c r="P71" s="56">
        <f>IF($E71="","",$E71*'参数配置'!$B$10)</f>
        <v/>
      </c>
      <c r="Q71" s="56">
        <f>IF($E71="","",$E71*'参数配置'!$B$11)</f>
        <v/>
      </c>
      <c r="R71" s="56">
        <f>IF($E71="","",$I71+$F71+$J71+$K71+$L71+$M71+$N71+$O71+$P71+$Q71)</f>
        <v/>
      </c>
      <c r="S71" s="56">
        <f>IF($E71="","",$E71-$R71)</f>
        <v/>
      </c>
      <c r="T71" s="57">
        <f>IF(OR($E71="",$E71=0),"",$S71/$E71)</f>
        <v/>
      </c>
      <c r="U71" s="38">
        <f>IF($E71="","",$S71*'参数配置'!$B$5)</f>
        <v/>
      </c>
      <c r="V71" s="57">
        <f>IF($E71="","",1-$H71-'参数配置'!$D$20-'参数配置'!$B$8-$G71-'参数配置'!$B$10-'参数配置'!$B$11-IF($E71&lt;='参数配置'!$B$7,'参数配置'!$B$6,0))</f>
        <v/>
      </c>
      <c r="W71" s="56">
        <f>IF($E71="","",$I71+$F71+$L71)</f>
        <v/>
      </c>
      <c r="X71" s="56">
        <f>IF($E71="","",IF($V71&gt;0,$W71/$V71,""))</f>
        <v/>
      </c>
      <c r="Y71" s="56">
        <f>IF($E71="","",IF(($V71-'参数配置'!$B$9)&gt;0,$W71/($V71-'参数配置'!$B$9),""))</f>
        <v/>
      </c>
      <c r="Z71" s="37">
        <f>IF($E71="","",IF(OR($C71="禁售",$C71="需资质"),"⛔"&amp;$C71&amp;"·不应进入利润表",IF($V71&lt;=0,"❗贡献率≤0·任何价都亏损",IF($E71&lt;$X71,"⛔低于保本价·亏损",IF($Y71="","⚠️目标不可达·需降本",IF($E71&lt;$Y71,"⚠️低于红线·未达目标利润率","✅达目标利润率"))))))</f>
        <v/>
      </c>
    </row>
    <row r="72">
      <c r="A72" s="52" t="n"/>
      <c r="B72" s="46">
        <f>IFERROR(VLOOKUP($A72,'SKU主表'!$A:$M,2,0),"")</f>
        <v/>
      </c>
      <c r="C72" s="47">
        <f>IFERROR(VLOOKUP($A72,'SKU主表'!$A:$M,9,0),"")</f>
        <v/>
      </c>
      <c r="D72" s="47">
        <f>IFERROR(VLOOKUP($A72,'SKU主表'!$A:$M,5,0),"")</f>
        <v/>
      </c>
      <c r="E72" s="58" t="n"/>
      <c r="F72" s="58" t="n"/>
      <c r="G72" s="59" t="n"/>
      <c r="H72" s="59">
        <f>'参数配置'!$D$22</f>
        <v/>
      </c>
      <c r="I72" s="56">
        <f>IF($D72="","",$D72/'参数配置'!$B$5)</f>
        <v/>
      </c>
      <c r="J72" s="56">
        <f>IF($E72="","",$E72*$H72)</f>
        <v/>
      </c>
      <c r="K72" s="56">
        <f>IF($E72="","",$E72*'参数配置'!$D$20)</f>
        <v/>
      </c>
      <c r="L72" s="56">
        <f>IF($E72="","",'参数配置'!$D$21)</f>
        <v/>
      </c>
      <c r="M72" s="56">
        <f>IF($E72="","",$E72*'参数配置'!$B$8)</f>
        <v/>
      </c>
      <c r="N72" s="56">
        <f>IF($E72="","",IF($E72&lt;='参数配置'!$B$7,$E72*'参数配置'!$B$6,0))</f>
        <v/>
      </c>
      <c r="O72" s="56">
        <f>IF($E72="","",$E72*$G72)</f>
        <v/>
      </c>
      <c r="P72" s="56">
        <f>IF($E72="","",$E72*'参数配置'!$B$10)</f>
        <v/>
      </c>
      <c r="Q72" s="56">
        <f>IF($E72="","",$E72*'参数配置'!$B$11)</f>
        <v/>
      </c>
      <c r="R72" s="56">
        <f>IF($E72="","",$I72+$F72+$J72+$K72+$L72+$M72+$N72+$O72+$P72+$Q72)</f>
        <v/>
      </c>
      <c r="S72" s="56">
        <f>IF($E72="","",$E72-$R72)</f>
        <v/>
      </c>
      <c r="T72" s="57">
        <f>IF(OR($E72="",$E72=0),"",$S72/$E72)</f>
        <v/>
      </c>
      <c r="U72" s="38">
        <f>IF($E72="","",$S72*'参数配置'!$B$5)</f>
        <v/>
      </c>
      <c r="V72" s="57">
        <f>IF($E72="","",1-$H72-'参数配置'!$D$20-'参数配置'!$B$8-$G72-'参数配置'!$B$10-'参数配置'!$B$11-IF($E72&lt;='参数配置'!$B$7,'参数配置'!$B$6,0))</f>
        <v/>
      </c>
      <c r="W72" s="56">
        <f>IF($E72="","",$I72+$F72+$L72)</f>
        <v/>
      </c>
      <c r="X72" s="56">
        <f>IF($E72="","",IF($V72&gt;0,$W72/$V72,""))</f>
        <v/>
      </c>
      <c r="Y72" s="56">
        <f>IF($E72="","",IF(($V72-'参数配置'!$B$9)&gt;0,$W72/($V72-'参数配置'!$B$9),""))</f>
        <v/>
      </c>
      <c r="Z72" s="37">
        <f>IF($E72="","",IF(OR($C72="禁售",$C72="需资质"),"⛔"&amp;$C72&amp;"·不应进入利润表",IF($V72&lt;=0,"❗贡献率≤0·任何价都亏损",IF($E72&lt;$X72,"⛔低于保本价·亏损",IF($Y72="","⚠️目标不可达·需降本",IF($E72&lt;$Y72,"⚠️低于红线·未达目标利润率","✅达目标利润率"))))))</f>
        <v/>
      </c>
    </row>
    <row r="73">
      <c r="A73" s="52" t="n"/>
      <c r="B73" s="46">
        <f>IFERROR(VLOOKUP($A73,'SKU主表'!$A:$M,2,0),"")</f>
        <v/>
      </c>
      <c r="C73" s="47">
        <f>IFERROR(VLOOKUP($A73,'SKU主表'!$A:$M,9,0),"")</f>
        <v/>
      </c>
      <c r="D73" s="47">
        <f>IFERROR(VLOOKUP($A73,'SKU主表'!$A:$M,5,0),"")</f>
        <v/>
      </c>
      <c r="E73" s="58" t="n"/>
      <c r="F73" s="58" t="n"/>
      <c r="G73" s="59" t="n"/>
      <c r="H73" s="59">
        <f>'参数配置'!$D$22</f>
        <v/>
      </c>
      <c r="I73" s="56">
        <f>IF($D73="","",$D73/'参数配置'!$B$5)</f>
        <v/>
      </c>
      <c r="J73" s="56">
        <f>IF($E73="","",$E73*$H73)</f>
        <v/>
      </c>
      <c r="K73" s="56">
        <f>IF($E73="","",$E73*'参数配置'!$D$20)</f>
        <v/>
      </c>
      <c r="L73" s="56">
        <f>IF($E73="","",'参数配置'!$D$21)</f>
        <v/>
      </c>
      <c r="M73" s="56">
        <f>IF($E73="","",$E73*'参数配置'!$B$8)</f>
        <v/>
      </c>
      <c r="N73" s="56">
        <f>IF($E73="","",IF($E73&lt;='参数配置'!$B$7,$E73*'参数配置'!$B$6,0))</f>
        <v/>
      </c>
      <c r="O73" s="56">
        <f>IF($E73="","",$E73*$G73)</f>
        <v/>
      </c>
      <c r="P73" s="56">
        <f>IF($E73="","",$E73*'参数配置'!$B$10)</f>
        <v/>
      </c>
      <c r="Q73" s="56">
        <f>IF($E73="","",$E73*'参数配置'!$B$11)</f>
        <v/>
      </c>
      <c r="R73" s="56">
        <f>IF($E73="","",$I73+$F73+$J73+$K73+$L73+$M73+$N73+$O73+$P73+$Q73)</f>
        <v/>
      </c>
      <c r="S73" s="56">
        <f>IF($E73="","",$E73-$R73)</f>
        <v/>
      </c>
      <c r="T73" s="57">
        <f>IF(OR($E73="",$E73=0),"",$S73/$E73)</f>
        <v/>
      </c>
      <c r="U73" s="38">
        <f>IF($E73="","",$S73*'参数配置'!$B$5)</f>
        <v/>
      </c>
      <c r="V73" s="57">
        <f>IF($E73="","",1-$H73-'参数配置'!$D$20-'参数配置'!$B$8-$G73-'参数配置'!$B$10-'参数配置'!$B$11-IF($E73&lt;='参数配置'!$B$7,'参数配置'!$B$6,0))</f>
        <v/>
      </c>
      <c r="W73" s="56">
        <f>IF($E73="","",$I73+$F73+$L73)</f>
        <v/>
      </c>
      <c r="X73" s="56">
        <f>IF($E73="","",IF($V73&gt;0,$W73/$V73,""))</f>
        <v/>
      </c>
      <c r="Y73" s="56">
        <f>IF($E73="","",IF(($V73-'参数配置'!$B$9)&gt;0,$W73/($V73-'参数配置'!$B$9),""))</f>
        <v/>
      </c>
      <c r="Z73" s="37">
        <f>IF($E73="","",IF(OR($C73="禁售",$C73="需资质"),"⛔"&amp;$C73&amp;"·不应进入利润表",IF($V73&lt;=0,"❗贡献率≤0·任何价都亏损",IF($E73&lt;$X73,"⛔低于保本价·亏损",IF($Y73="","⚠️目标不可达·需降本",IF($E73&lt;$Y73,"⚠️低于红线·未达目标利润率","✅达目标利润率"))))))</f>
        <v/>
      </c>
    </row>
    <row r="74">
      <c r="A74" s="52" t="n"/>
      <c r="B74" s="46">
        <f>IFERROR(VLOOKUP($A74,'SKU主表'!$A:$M,2,0),"")</f>
        <v/>
      </c>
      <c r="C74" s="47">
        <f>IFERROR(VLOOKUP($A74,'SKU主表'!$A:$M,9,0),"")</f>
        <v/>
      </c>
      <c r="D74" s="47">
        <f>IFERROR(VLOOKUP($A74,'SKU主表'!$A:$M,5,0),"")</f>
        <v/>
      </c>
      <c r="E74" s="58" t="n"/>
      <c r="F74" s="58" t="n"/>
      <c r="G74" s="59" t="n"/>
      <c r="H74" s="59">
        <f>'参数配置'!$D$22</f>
        <v/>
      </c>
      <c r="I74" s="56">
        <f>IF($D74="","",$D74/'参数配置'!$B$5)</f>
        <v/>
      </c>
      <c r="J74" s="56">
        <f>IF($E74="","",$E74*$H74)</f>
        <v/>
      </c>
      <c r="K74" s="56">
        <f>IF($E74="","",$E74*'参数配置'!$D$20)</f>
        <v/>
      </c>
      <c r="L74" s="56">
        <f>IF($E74="","",'参数配置'!$D$21)</f>
        <v/>
      </c>
      <c r="M74" s="56">
        <f>IF($E74="","",$E74*'参数配置'!$B$8)</f>
        <v/>
      </c>
      <c r="N74" s="56">
        <f>IF($E74="","",IF($E74&lt;='参数配置'!$B$7,$E74*'参数配置'!$B$6,0))</f>
        <v/>
      </c>
      <c r="O74" s="56">
        <f>IF($E74="","",$E74*$G74)</f>
        <v/>
      </c>
      <c r="P74" s="56">
        <f>IF($E74="","",$E74*'参数配置'!$B$10)</f>
        <v/>
      </c>
      <c r="Q74" s="56">
        <f>IF($E74="","",$E74*'参数配置'!$B$11)</f>
        <v/>
      </c>
      <c r="R74" s="56">
        <f>IF($E74="","",$I74+$F74+$J74+$K74+$L74+$M74+$N74+$O74+$P74+$Q74)</f>
        <v/>
      </c>
      <c r="S74" s="56">
        <f>IF($E74="","",$E74-$R74)</f>
        <v/>
      </c>
      <c r="T74" s="57">
        <f>IF(OR($E74="",$E74=0),"",$S74/$E74)</f>
        <v/>
      </c>
      <c r="U74" s="38">
        <f>IF($E74="","",$S74*'参数配置'!$B$5)</f>
        <v/>
      </c>
      <c r="V74" s="57">
        <f>IF($E74="","",1-$H74-'参数配置'!$D$20-'参数配置'!$B$8-$G74-'参数配置'!$B$10-'参数配置'!$B$11-IF($E74&lt;='参数配置'!$B$7,'参数配置'!$B$6,0))</f>
        <v/>
      </c>
      <c r="W74" s="56">
        <f>IF($E74="","",$I74+$F74+$L74)</f>
        <v/>
      </c>
      <c r="X74" s="56">
        <f>IF($E74="","",IF($V74&gt;0,$W74/$V74,""))</f>
        <v/>
      </c>
      <c r="Y74" s="56">
        <f>IF($E74="","",IF(($V74-'参数配置'!$B$9)&gt;0,$W74/($V74-'参数配置'!$B$9),""))</f>
        <v/>
      </c>
      <c r="Z74" s="37">
        <f>IF($E74="","",IF(OR($C74="禁售",$C74="需资质"),"⛔"&amp;$C74&amp;"·不应进入利润表",IF($V74&lt;=0,"❗贡献率≤0·任何价都亏损",IF($E74&lt;$X74,"⛔低于保本价·亏损",IF($Y74="","⚠️目标不可达·需降本",IF($E74&lt;$Y74,"⚠️低于红线·未达目标利润率","✅达目标利润率"))))))</f>
        <v/>
      </c>
    </row>
    <row r="75">
      <c r="A75" s="52" t="n"/>
      <c r="B75" s="46">
        <f>IFERROR(VLOOKUP($A75,'SKU主表'!$A:$M,2,0),"")</f>
        <v/>
      </c>
      <c r="C75" s="47">
        <f>IFERROR(VLOOKUP($A75,'SKU主表'!$A:$M,9,0),"")</f>
        <v/>
      </c>
      <c r="D75" s="47">
        <f>IFERROR(VLOOKUP($A75,'SKU主表'!$A:$M,5,0),"")</f>
        <v/>
      </c>
      <c r="E75" s="58" t="n"/>
      <c r="F75" s="58" t="n"/>
      <c r="G75" s="59" t="n"/>
      <c r="H75" s="59">
        <f>'参数配置'!$D$22</f>
        <v/>
      </c>
      <c r="I75" s="56">
        <f>IF($D75="","",$D75/'参数配置'!$B$5)</f>
        <v/>
      </c>
      <c r="J75" s="56">
        <f>IF($E75="","",$E75*$H75)</f>
        <v/>
      </c>
      <c r="K75" s="56">
        <f>IF($E75="","",$E75*'参数配置'!$D$20)</f>
        <v/>
      </c>
      <c r="L75" s="56">
        <f>IF($E75="","",'参数配置'!$D$21)</f>
        <v/>
      </c>
      <c r="M75" s="56">
        <f>IF($E75="","",$E75*'参数配置'!$B$8)</f>
        <v/>
      </c>
      <c r="N75" s="56">
        <f>IF($E75="","",IF($E75&lt;='参数配置'!$B$7,$E75*'参数配置'!$B$6,0))</f>
        <v/>
      </c>
      <c r="O75" s="56">
        <f>IF($E75="","",$E75*$G75)</f>
        <v/>
      </c>
      <c r="P75" s="56">
        <f>IF($E75="","",$E75*'参数配置'!$B$10)</f>
        <v/>
      </c>
      <c r="Q75" s="56">
        <f>IF($E75="","",$E75*'参数配置'!$B$11)</f>
        <v/>
      </c>
      <c r="R75" s="56">
        <f>IF($E75="","",$I75+$F75+$J75+$K75+$L75+$M75+$N75+$O75+$P75+$Q75)</f>
        <v/>
      </c>
      <c r="S75" s="56">
        <f>IF($E75="","",$E75-$R75)</f>
        <v/>
      </c>
      <c r="T75" s="57">
        <f>IF(OR($E75="",$E75=0),"",$S75/$E75)</f>
        <v/>
      </c>
      <c r="U75" s="38">
        <f>IF($E75="","",$S75*'参数配置'!$B$5)</f>
        <v/>
      </c>
      <c r="V75" s="57">
        <f>IF($E75="","",1-$H75-'参数配置'!$D$20-'参数配置'!$B$8-$G75-'参数配置'!$B$10-'参数配置'!$B$11-IF($E75&lt;='参数配置'!$B$7,'参数配置'!$B$6,0))</f>
        <v/>
      </c>
      <c r="W75" s="56">
        <f>IF($E75="","",$I75+$F75+$L75)</f>
        <v/>
      </c>
      <c r="X75" s="56">
        <f>IF($E75="","",IF($V75&gt;0,$W75/$V75,""))</f>
        <v/>
      </c>
      <c r="Y75" s="56">
        <f>IF($E75="","",IF(($V75-'参数配置'!$B$9)&gt;0,$W75/($V75-'参数配置'!$B$9),""))</f>
        <v/>
      </c>
      <c r="Z75" s="37">
        <f>IF($E75="","",IF(OR($C75="禁售",$C75="需资质"),"⛔"&amp;$C75&amp;"·不应进入利润表",IF($V75&lt;=0,"❗贡献率≤0·任何价都亏损",IF($E75&lt;$X75,"⛔低于保本价·亏损",IF($Y75="","⚠️目标不可达·需降本",IF($E75&lt;$Y75,"⚠️低于红线·未达目标利润率","✅达目标利润率"))))))</f>
        <v/>
      </c>
    </row>
    <row r="76">
      <c r="A76" s="52" t="n"/>
      <c r="B76" s="46">
        <f>IFERROR(VLOOKUP($A76,'SKU主表'!$A:$M,2,0),"")</f>
        <v/>
      </c>
      <c r="C76" s="47">
        <f>IFERROR(VLOOKUP($A76,'SKU主表'!$A:$M,9,0),"")</f>
        <v/>
      </c>
      <c r="D76" s="47">
        <f>IFERROR(VLOOKUP($A76,'SKU主表'!$A:$M,5,0),"")</f>
        <v/>
      </c>
      <c r="E76" s="58" t="n"/>
      <c r="F76" s="58" t="n"/>
      <c r="G76" s="59" t="n"/>
      <c r="H76" s="59">
        <f>'参数配置'!$D$22</f>
        <v/>
      </c>
      <c r="I76" s="56">
        <f>IF($D76="","",$D76/'参数配置'!$B$5)</f>
        <v/>
      </c>
      <c r="J76" s="56">
        <f>IF($E76="","",$E76*$H76)</f>
        <v/>
      </c>
      <c r="K76" s="56">
        <f>IF($E76="","",$E76*'参数配置'!$D$20)</f>
        <v/>
      </c>
      <c r="L76" s="56">
        <f>IF($E76="","",'参数配置'!$D$21)</f>
        <v/>
      </c>
      <c r="M76" s="56">
        <f>IF($E76="","",$E76*'参数配置'!$B$8)</f>
        <v/>
      </c>
      <c r="N76" s="56">
        <f>IF($E76="","",IF($E76&lt;='参数配置'!$B$7,$E76*'参数配置'!$B$6,0))</f>
        <v/>
      </c>
      <c r="O76" s="56">
        <f>IF($E76="","",$E76*$G76)</f>
        <v/>
      </c>
      <c r="P76" s="56">
        <f>IF($E76="","",$E76*'参数配置'!$B$10)</f>
        <v/>
      </c>
      <c r="Q76" s="56">
        <f>IF($E76="","",$E76*'参数配置'!$B$11)</f>
        <v/>
      </c>
      <c r="R76" s="56">
        <f>IF($E76="","",$I76+$F76+$J76+$K76+$L76+$M76+$N76+$O76+$P76+$Q76)</f>
        <v/>
      </c>
      <c r="S76" s="56">
        <f>IF($E76="","",$E76-$R76)</f>
        <v/>
      </c>
      <c r="T76" s="57">
        <f>IF(OR($E76="",$E76=0),"",$S76/$E76)</f>
        <v/>
      </c>
      <c r="U76" s="38">
        <f>IF($E76="","",$S76*'参数配置'!$B$5)</f>
        <v/>
      </c>
      <c r="V76" s="57">
        <f>IF($E76="","",1-$H76-'参数配置'!$D$20-'参数配置'!$B$8-$G76-'参数配置'!$B$10-'参数配置'!$B$11-IF($E76&lt;='参数配置'!$B$7,'参数配置'!$B$6,0))</f>
        <v/>
      </c>
      <c r="W76" s="56">
        <f>IF($E76="","",$I76+$F76+$L76)</f>
        <v/>
      </c>
      <c r="X76" s="56">
        <f>IF($E76="","",IF($V76&gt;0,$W76/$V76,""))</f>
        <v/>
      </c>
      <c r="Y76" s="56">
        <f>IF($E76="","",IF(($V76-'参数配置'!$B$9)&gt;0,$W76/($V76-'参数配置'!$B$9),""))</f>
        <v/>
      </c>
      <c r="Z76" s="37">
        <f>IF($E76="","",IF(OR($C76="禁售",$C76="需资质"),"⛔"&amp;$C76&amp;"·不应进入利润表",IF($V76&lt;=0,"❗贡献率≤0·任何价都亏损",IF($E76&lt;$X76,"⛔低于保本价·亏损",IF($Y76="","⚠️目标不可达·需降本",IF($E76&lt;$Y76,"⚠️低于红线·未达目标利润率","✅达目标利润率"))))))</f>
        <v/>
      </c>
    </row>
    <row r="77">
      <c r="A77" s="52" t="n"/>
      <c r="B77" s="46">
        <f>IFERROR(VLOOKUP($A77,'SKU主表'!$A:$M,2,0),"")</f>
        <v/>
      </c>
      <c r="C77" s="47">
        <f>IFERROR(VLOOKUP($A77,'SKU主表'!$A:$M,9,0),"")</f>
        <v/>
      </c>
      <c r="D77" s="47">
        <f>IFERROR(VLOOKUP($A77,'SKU主表'!$A:$M,5,0),"")</f>
        <v/>
      </c>
      <c r="E77" s="58" t="n"/>
      <c r="F77" s="58" t="n"/>
      <c r="G77" s="59" t="n"/>
      <c r="H77" s="59">
        <f>'参数配置'!$D$22</f>
        <v/>
      </c>
      <c r="I77" s="56">
        <f>IF($D77="","",$D77/'参数配置'!$B$5)</f>
        <v/>
      </c>
      <c r="J77" s="56">
        <f>IF($E77="","",$E77*$H77)</f>
        <v/>
      </c>
      <c r="K77" s="56">
        <f>IF($E77="","",$E77*'参数配置'!$D$20)</f>
        <v/>
      </c>
      <c r="L77" s="56">
        <f>IF($E77="","",'参数配置'!$D$21)</f>
        <v/>
      </c>
      <c r="M77" s="56">
        <f>IF($E77="","",$E77*'参数配置'!$B$8)</f>
        <v/>
      </c>
      <c r="N77" s="56">
        <f>IF($E77="","",IF($E77&lt;='参数配置'!$B$7,$E77*'参数配置'!$B$6,0))</f>
        <v/>
      </c>
      <c r="O77" s="56">
        <f>IF($E77="","",$E77*$G77)</f>
        <v/>
      </c>
      <c r="P77" s="56">
        <f>IF($E77="","",$E77*'参数配置'!$B$10)</f>
        <v/>
      </c>
      <c r="Q77" s="56">
        <f>IF($E77="","",$E77*'参数配置'!$B$11)</f>
        <v/>
      </c>
      <c r="R77" s="56">
        <f>IF($E77="","",$I77+$F77+$J77+$K77+$L77+$M77+$N77+$O77+$P77+$Q77)</f>
        <v/>
      </c>
      <c r="S77" s="56">
        <f>IF($E77="","",$E77-$R77)</f>
        <v/>
      </c>
      <c r="T77" s="57">
        <f>IF(OR($E77="",$E77=0),"",$S77/$E77)</f>
        <v/>
      </c>
      <c r="U77" s="38">
        <f>IF($E77="","",$S77*'参数配置'!$B$5)</f>
        <v/>
      </c>
      <c r="V77" s="57">
        <f>IF($E77="","",1-$H77-'参数配置'!$D$20-'参数配置'!$B$8-$G77-'参数配置'!$B$10-'参数配置'!$B$11-IF($E77&lt;='参数配置'!$B$7,'参数配置'!$B$6,0))</f>
        <v/>
      </c>
      <c r="W77" s="56">
        <f>IF($E77="","",$I77+$F77+$L77)</f>
        <v/>
      </c>
      <c r="X77" s="56">
        <f>IF($E77="","",IF($V77&gt;0,$W77/$V77,""))</f>
        <v/>
      </c>
      <c r="Y77" s="56">
        <f>IF($E77="","",IF(($V77-'参数配置'!$B$9)&gt;0,$W77/($V77-'参数配置'!$B$9),""))</f>
        <v/>
      </c>
      <c r="Z77" s="37">
        <f>IF($E77="","",IF(OR($C77="禁售",$C77="需资质"),"⛔"&amp;$C77&amp;"·不应进入利润表",IF($V77&lt;=0,"❗贡献率≤0·任何价都亏损",IF($E77&lt;$X77,"⛔低于保本价·亏损",IF($Y77="","⚠️目标不可达·需降本",IF($E77&lt;$Y77,"⚠️低于红线·未达目标利润率","✅达目标利润率"))))))</f>
        <v/>
      </c>
    </row>
    <row r="78">
      <c r="A78" s="52" t="n"/>
      <c r="B78" s="46">
        <f>IFERROR(VLOOKUP($A78,'SKU主表'!$A:$M,2,0),"")</f>
        <v/>
      </c>
      <c r="C78" s="47">
        <f>IFERROR(VLOOKUP($A78,'SKU主表'!$A:$M,9,0),"")</f>
        <v/>
      </c>
      <c r="D78" s="47">
        <f>IFERROR(VLOOKUP($A78,'SKU主表'!$A:$M,5,0),"")</f>
        <v/>
      </c>
      <c r="E78" s="58" t="n"/>
      <c r="F78" s="58" t="n"/>
      <c r="G78" s="59" t="n"/>
      <c r="H78" s="59">
        <f>'参数配置'!$D$22</f>
        <v/>
      </c>
      <c r="I78" s="56">
        <f>IF($D78="","",$D78/'参数配置'!$B$5)</f>
        <v/>
      </c>
      <c r="J78" s="56">
        <f>IF($E78="","",$E78*$H78)</f>
        <v/>
      </c>
      <c r="K78" s="56">
        <f>IF($E78="","",$E78*'参数配置'!$D$20)</f>
        <v/>
      </c>
      <c r="L78" s="56">
        <f>IF($E78="","",'参数配置'!$D$21)</f>
        <v/>
      </c>
      <c r="M78" s="56">
        <f>IF($E78="","",$E78*'参数配置'!$B$8)</f>
        <v/>
      </c>
      <c r="N78" s="56">
        <f>IF($E78="","",IF($E78&lt;='参数配置'!$B$7,$E78*'参数配置'!$B$6,0))</f>
        <v/>
      </c>
      <c r="O78" s="56">
        <f>IF($E78="","",$E78*$G78)</f>
        <v/>
      </c>
      <c r="P78" s="56">
        <f>IF($E78="","",$E78*'参数配置'!$B$10)</f>
        <v/>
      </c>
      <c r="Q78" s="56">
        <f>IF($E78="","",$E78*'参数配置'!$B$11)</f>
        <v/>
      </c>
      <c r="R78" s="56">
        <f>IF($E78="","",$I78+$F78+$J78+$K78+$L78+$M78+$N78+$O78+$P78+$Q78)</f>
        <v/>
      </c>
      <c r="S78" s="56">
        <f>IF($E78="","",$E78-$R78)</f>
        <v/>
      </c>
      <c r="T78" s="57">
        <f>IF(OR($E78="",$E78=0),"",$S78/$E78)</f>
        <v/>
      </c>
      <c r="U78" s="38">
        <f>IF($E78="","",$S78*'参数配置'!$B$5)</f>
        <v/>
      </c>
      <c r="V78" s="57">
        <f>IF($E78="","",1-$H78-'参数配置'!$D$20-'参数配置'!$B$8-$G78-'参数配置'!$B$10-'参数配置'!$B$11-IF($E78&lt;='参数配置'!$B$7,'参数配置'!$B$6,0))</f>
        <v/>
      </c>
      <c r="W78" s="56">
        <f>IF($E78="","",$I78+$F78+$L78)</f>
        <v/>
      </c>
      <c r="X78" s="56">
        <f>IF($E78="","",IF($V78&gt;0,$W78/$V78,""))</f>
        <v/>
      </c>
      <c r="Y78" s="56">
        <f>IF($E78="","",IF(($V78-'参数配置'!$B$9)&gt;0,$W78/($V78-'参数配置'!$B$9),""))</f>
        <v/>
      </c>
      <c r="Z78" s="37">
        <f>IF($E78="","",IF(OR($C78="禁售",$C78="需资质"),"⛔"&amp;$C78&amp;"·不应进入利润表",IF($V78&lt;=0,"❗贡献率≤0·任何价都亏损",IF($E78&lt;$X78,"⛔低于保本价·亏损",IF($Y78="","⚠️目标不可达·需降本",IF($E78&lt;$Y78,"⚠️低于红线·未达目标利润率","✅达目标利润率"))))))</f>
        <v/>
      </c>
    </row>
    <row r="79">
      <c r="A79" s="52" t="n"/>
      <c r="B79" s="46">
        <f>IFERROR(VLOOKUP($A79,'SKU主表'!$A:$M,2,0),"")</f>
        <v/>
      </c>
      <c r="C79" s="47">
        <f>IFERROR(VLOOKUP($A79,'SKU主表'!$A:$M,9,0),"")</f>
        <v/>
      </c>
      <c r="D79" s="47">
        <f>IFERROR(VLOOKUP($A79,'SKU主表'!$A:$M,5,0),"")</f>
        <v/>
      </c>
      <c r="E79" s="58" t="n"/>
      <c r="F79" s="58" t="n"/>
      <c r="G79" s="59" t="n"/>
      <c r="H79" s="59">
        <f>'参数配置'!$D$22</f>
        <v/>
      </c>
      <c r="I79" s="56">
        <f>IF($D79="","",$D79/'参数配置'!$B$5)</f>
        <v/>
      </c>
      <c r="J79" s="56">
        <f>IF($E79="","",$E79*$H79)</f>
        <v/>
      </c>
      <c r="K79" s="56">
        <f>IF($E79="","",$E79*'参数配置'!$D$20)</f>
        <v/>
      </c>
      <c r="L79" s="56">
        <f>IF($E79="","",'参数配置'!$D$21)</f>
        <v/>
      </c>
      <c r="M79" s="56">
        <f>IF($E79="","",$E79*'参数配置'!$B$8)</f>
        <v/>
      </c>
      <c r="N79" s="56">
        <f>IF($E79="","",IF($E79&lt;='参数配置'!$B$7,$E79*'参数配置'!$B$6,0))</f>
        <v/>
      </c>
      <c r="O79" s="56">
        <f>IF($E79="","",$E79*$G79)</f>
        <v/>
      </c>
      <c r="P79" s="56">
        <f>IF($E79="","",$E79*'参数配置'!$B$10)</f>
        <v/>
      </c>
      <c r="Q79" s="56">
        <f>IF($E79="","",$E79*'参数配置'!$B$11)</f>
        <v/>
      </c>
      <c r="R79" s="56">
        <f>IF($E79="","",$I79+$F79+$J79+$K79+$L79+$M79+$N79+$O79+$P79+$Q79)</f>
        <v/>
      </c>
      <c r="S79" s="56">
        <f>IF($E79="","",$E79-$R79)</f>
        <v/>
      </c>
      <c r="T79" s="57">
        <f>IF(OR($E79="",$E79=0),"",$S79/$E79)</f>
        <v/>
      </c>
      <c r="U79" s="38">
        <f>IF($E79="","",$S79*'参数配置'!$B$5)</f>
        <v/>
      </c>
      <c r="V79" s="57">
        <f>IF($E79="","",1-$H79-'参数配置'!$D$20-'参数配置'!$B$8-$G79-'参数配置'!$B$10-'参数配置'!$B$11-IF($E79&lt;='参数配置'!$B$7,'参数配置'!$B$6,0))</f>
        <v/>
      </c>
      <c r="W79" s="56">
        <f>IF($E79="","",$I79+$F79+$L79)</f>
        <v/>
      </c>
      <c r="X79" s="56">
        <f>IF($E79="","",IF($V79&gt;0,$W79/$V79,""))</f>
        <v/>
      </c>
      <c r="Y79" s="56">
        <f>IF($E79="","",IF(($V79-'参数配置'!$B$9)&gt;0,$W79/($V79-'参数配置'!$B$9),""))</f>
        <v/>
      </c>
      <c r="Z79" s="37">
        <f>IF($E79="","",IF(OR($C79="禁售",$C79="需资质"),"⛔"&amp;$C79&amp;"·不应进入利润表",IF($V79&lt;=0,"❗贡献率≤0·任何价都亏损",IF($E79&lt;$X79,"⛔低于保本价·亏损",IF($Y79="","⚠️目标不可达·需降本",IF($E79&lt;$Y79,"⚠️低于红线·未达目标利润率","✅达目标利润率"))))))</f>
        <v/>
      </c>
    </row>
    <row r="80">
      <c r="A80" s="52" t="n"/>
      <c r="B80" s="46">
        <f>IFERROR(VLOOKUP($A80,'SKU主表'!$A:$M,2,0),"")</f>
        <v/>
      </c>
      <c r="C80" s="47">
        <f>IFERROR(VLOOKUP($A80,'SKU主表'!$A:$M,9,0),"")</f>
        <v/>
      </c>
      <c r="D80" s="47">
        <f>IFERROR(VLOOKUP($A80,'SKU主表'!$A:$M,5,0),"")</f>
        <v/>
      </c>
      <c r="E80" s="58" t="n"/>
      <c r="F80" s="58" t="n"/>
      <c r="G80" s="59" t="n"/>
      <c r="H80" s="59">
        <f>'参数配置'!$D$22</f>
        <v/>
      </c>
      <c r="I80" s="56">
        <f>IF($D80="","",$D80/'参数配置'!$B$5)</f>
        <v/>
      </c>
      <c r="J80" s="56">
        <f>IF($E80="","",$E80*$H80)</f>
        <v/>
      </c>
      <c r="K80" s="56">
        <f>IF($E80="","",$E80*'参数配置'!$D$20)</f>
        <v/>
      </c>
      <c r="L80" s="56">
        <f>IF($E80="","",'参数配置'!$D$21)</f>
        <v/>
      </c>
      <c r="M80" s="56">
        <f>IF($E80="","",$E80*'参数配置'!$B$8)</f>
        <v/>
      </c>
      <c r="N80" s="56">
        <f>IF($E80="","",IF($E80&lt;='参数配置'!$B$7,$E80*'参数配置'!$B$6,0))</f>
        <v/>
      </c>
      <c r="O80" s="56">
        <f>IF($E80="","",$E80*$G80)</f>
        <v/>
      </c>
      <c r="P80" s="56">
        <f>IF($E80="","",$E80*'参数配置'!$B$10)</f>
        <v/>
      </c>
      <c r="Q80" s="56">
        <f>IF($E80="","",$E80*'参数配置'!$B$11)</f>
        <v/>
      </c>
      <c r="R80" s="56">
        <f>IF($E80="","",$I80+$F80+$J80+$K80+$L80+$M80+$N80+$O80+$P80+$Q80)</f>
        <v/>
      </c>
      <c r="S80" s="56">
        <f>IF($E80="","",$E80-$R80)</f>
        <v/>
      </c>
      <c r="T80" s="57">
        <f>IF(OR($E80="",$E80=0),"",$S80/$E80)</f>
        <v/>
      </c>
      <c r="U80" s="38">
        <f>IF($E80="","",$S80*'参数配置'!$B$5)</f>
        <v/>
      </c>
      <c r="V80" s="57">
        <f>IF($E80="","",1-$H80-'参数配置'!$D$20-'参数配置'!$B$8-$G80-'参数配置'!$B$10-'参数配置'!$B$11-IF($E80&lt;='参数配置'!$B$7,'参数配置'!$B$6,0))</f>
        <v/>
      </c>
      <c r="W80" s="56">
        <f>IF($E80="","",$I80+$F80+$L80)</f>
        <v/>
      </c>
      <c r="X80" s="56">
        <f>IF($E80="","",IF($V80&gt;0,$W80/$V80,""))</f>
        <v/>
      </c>
      <c r="Y80" s="56">
        <f>IF($E80="","",IF(($V80-'参数配置'!$B$9)&gt;0,$W80/($V80-'参数配置'!$B$9),""))</f>
        <v/>
      </c>
      <c r="Z80" s="37">
        <f>IF($E80="","",IF(OR($C80="禁售",$C80="需资质"),"⛔"&amp;$C80&amp;"·不应进入利润表",IF($V80&lt;=0,"❗贡献率≤0·任何价都亏损",IF($E80&lt;$X80,"⛔低于保本价·亏损",IF($Y80="","⚠️目标不可达·需降本",IF($E80&lt;$Y80,"⚠️低于红线·未达目标利润率","✅达目标利润率"))))))</f>
        <v/>
      </c>
    </row>
    <row r="81">
      <c r="A81" s="52" t="n"/>
      <c r="B81" s="46">
        <f>IFERROR(VLOOKUP($A81,'SKU主表'!$A:$M,2,0),"")</f>
        <v/>
      </c>
      <c r="C81" s="47">
        <f>IFERROR(VLOOKUP($A81,'SKU主表'!$A:$M,9,0),"")</f>
        <v/>
      </c>
      <c r="D81" s="47">
        <f>IFERROR(VLOOKUP($A81,'SKU主表'!$A:$M,5,0),"")</f>
        <v/>
      </c>
      <c r="E81" s="58" t="n"/>
      <c r="F81" s="58" t="n"/>
      <c r="G81" s="59" t="n"/>
      <c r="H81" s="59">
        <f>'参数配置'!$D$22</f>
        <v/>
      </c>
      <c r="I81" s="56">
        <f>IF($D81="","",$D81/'参数配置'!$B$5)</f>
        <v/>
      </c>
      <c r="J81" s="56">
        <f>IF($E81="","",$E81*$H81)</f>
        <v/>
      </c>
      <c r="K81" s="56">
        <f>IF($E81="","",$E81*'参数配置'!$D$20)</f>
        <v/>
      </c>
      <c r="L81" s="56">
        <f>IF($E81="","",'参数配置'!$D$21)</f>
        <v/>
      </c>
      <c r="M81" s="56">
        <f>IF($E81="","",$E81*'参数配置'!$B$8)</f>
        <v/>
      </c>
      <c r="N81" s="56">
        <f>IF($E81="","",IF($E81&lt;='参数配置'!$B$7,$E81*'参数配置'!$B$6,0))</f>
        <v/>
      </c>
      <c r="O81" s="56">
        <f>IF($E81="","",$E81*$G81)</f>
        <v/>
      </c>
      <c r="P81" s="56">
        <f>IF($E81="","",$E81*'参数配置'!$B$10)</f>
        <v/>
      </c>
      <c r="Q81" s="56">
        <f>IF($E81="","",$E81*'参数配置'!$B$11)</f>
        <v/>
      </c>
      <c r="R81" s="56">
        <f>IF($E81="","",$I81+$F81+$J81+$K81+$L81+$M81+$N81+$O81+$P81+$Q81)</f>
        <v/>
      </c>
      <c r="S81" s="56">
        <f>IF($E81="","",$E81-$R81)</f>
        <v/>
      </c>
      <c r="T81" s="57">
        <f>IF(OR($E81="",$E81=0),"",$S81/$E81)</f>
        <v/>
      </c>
      <c r="U81" s="38">
        <f>IF($E81="","",$S81*'参数配置'!$B$5)</f>
        <v/>
      </c>
      <c r="V81" s="57">
        <f>IF($E81="","",1-$H81-'参数配置'!$D$20-'参数配置'!$B$8-$G81-'参数配置'!$B$10-'参数配置'!$B$11-IF($E81&lt;='参数配置'!$B$7,'参数配置'!$B$6,0))</f>
        <v/>
      </c>
      <c r="W81" s="56">
        <f>IF($E81="","",$I81+$F81+$L81)</f>
        <v/>
      </c>
      <c r="X81" s="56">
        <f>IF($E81="","",IF($V81&gt;0,$W81/$V81,""))</f>
        <v/>
      </c>
      <c r="Y81" s="56">
        <f>IF($E81="","",IF(($V81-'参数配置'!$B$9)&gt;0,$W81/($V81-'参数配置'!$B$9),""))</f>
        <v/>
      </c>
      <c r="Z81" s="37">
        <f>IF($E81="","",IF(OR($C81="禁售",$C81="需资质"),"⛔"&amp;$C81&amp;"·不应进入利润表",IF($V81&lt;=0,"❗贡献率≤0·任何价都亏损",IF($E81&lt;$X81,"⛔低于保本价·亏损",IF($Y81="","⚠️目标不可达·需降本",IF($E81&lt;$Y81,"⚠️低于红线·未达目标利润率","✅达目标利润率"))))))</f>
        <v/>
      </c>
    </row>
    <row r="82">
      <c r="A82" s="52" t="n"/>
      <c r="B82" s="46">
        <f>IFERROR(VLOOKUP($A82,'SKU主表'!$A:$M,2,0),"")</f>
        <v/>
      </c>
      <c r="C82" s="47">
        <f>IFERROR(VLOOKUP($A82,'SKU主表'!$A:$M,9,0),"")</f>
        <v/>
      </c>
      <c r="D82" s="47">
        <f>IFERROR(VLOOKUP($A82,'SKU主表'!$A:$M,5,0),"")</f>
        <v/>
      </c>
      <c r="E82" s="58" t="n"/>
      <c r="F82" s="58" t="n"/>
      <c r="G82" s="59" t="n"/>
      <c r="H82" s="59">
        <f>'参数配置'!$D$22</f>
        <v/>
      </c>
      <c r="I82" s="56">
        <f>IF($D82="","",$D82/'参数配置'!$B$5)</f>
        <v/>
      </c>
      <c r="J82" s="56">
        <f>IF($E82="","",$E82*$H82)</f>
        <v/>
      </c>
      <c r="K82" s="56">
        <f>IF($E82="","",$E82*'参数配置'!$D$20)</f>
        <v/>
      </c>
      <c r="L82" s="56">
        <f>IF($E82="","",'参数配置'!$D$21)</f>
        <v/>
      </c>
      <c r="M82" s="56">
        <f>IF($E82="","",$E82*'参数配置'!$B$8)</f>
        <v/>
      </c>
      <c r="N82" s="56">
        <f>IF($E82="","",IF($E82&lt;='参数配置'!$B$7,$E82*'参数配置'!$B$6,0))</f>
        <v/>
      </c>
      <c r="O82" s="56">
        <f>IF($E82="","",$E82*$G82)</f>
        <v/>
      </c>
      <c r="P82" s="56">
        <f>IF($E82="","",$E82*'参数配置'!$B$10)</f>
        <v/>
      </c>
      <c r="Q82" s="56">
        <f>IF($E82="","",$E82*'参数配置'!$B$11)</f>
        <v/>
      </c>
      <c r="R82" s="56">
        <f>IF($E82="","",$I82+$F82+$J82+$K82+$L82+$M82+$N82+$O82+$P82+$Q82)</f>
        <v/>
      </c>
      <c r="S82" s="56">
        <f>IF($E82="","",$E82-$R82)</f>
        <v/>
      </c>
      <c r="T82" s="57">
        <f>IF(OR($E82="",$E82=0),"",$S82/$E82)</f>
        <v/>
      </c>
      <c r="U82" s="38">
        <f>IF($E82="","",$S82*'参数配置'!$B$5)</f>
        <v/>
      </c>
      <c r="V82" s="57">
        <f>IF($E82="","",1-$H82-'参数配置'!$D$20-'参数配置'!$B$8-$G82-'参数配置'!$B$10-'参数配置'!$B$11-IF($E82&lt;='参数配置'!$B$7,'参数配置'!$B$6,0))</f>
        <v/>
      </c>
      <c r="W82" s="56">
        <f>IF($E82="","",$I82+$F82+$L82)</f>
        <v/>
      </c>
      <c r="X82" s="56">
        <f>IF($E82="","",IF($V82&gt;0,$W82/$V82,""))</f>
        <v/>
      </c>
      <c r="Y82" s="56">
        <f>IF($E82="","",IF(($V82-'参数配置'!$B$9)&gt;0,$W82/($V82-'参数配置'!$B$9),""))</f>
        <v/>
      </c>
      <c r="Z82" s="37">
        <f>IF($E82="","",IF(OR($C82="禁售",$C82="需资质"),"⛔"&amp;$C82&amp;"·不应进入利润表",IF($V82&lt;=0,"❗贡献率≤0·任何价都亏损",IF($E82&lt;$X82,"⛔低于保本价·亏损",IF($Y82="","⚠️目标不可达·需降本",IF($E82&lt;$Y82,"⚠️低于红线·未达目标利润率","✅达目标利润率"))))))</f>
        <v/>
      </c>
    </row>
    <row r="83">
      <c r="A83" s="52" t="n"/>
      <c r="B83" s="46">
        <f>IFERROR(VLOOKUP($A83,'SKU主表'!$A:$M,2,0),"")</f>
        <v/>
      </c>
      <c r="C83" s="47">
        <f>IFERROR(VLOOKUP($A83,'SKU主表'!$A:$M,9,0),"")</f>
        <v/>
      </c>
      <c r="D83" s="47">
        <f>IFERROR(VLOOKUP($A83,'SKU主表'!$A:$M,5,0),"")</f>
        <v/>
      </c>
      <c r="E83" s="58" t="n"/>
      <c r="F83" s="58" t="n"/>
      <c r="G83" s="59" t="n"/>
      <c r="H83" s="59">
        <f>'参数配置'!$D$22</f>
        <v/>
      </c>
      <c r="I83" s="56">
        <f>IF($D83="","",$D83/'参数配置'!$B$5)</f>
        <v/>
      </c>
      <c r="J83" s="56">
        <f>IF($E83="","",$E83*$H83)</f>
        <v/>
      </c>
      <c r="K83" s="56">
        <f>IF($E83="","",$E83*'参数配置'!$D$20)</f>
        <v/>
      </c>
      <c r="L83" s="56">
        <f>IF($E83="","",'参数配置'!$D$21)</f>
        <v/>
      </c>
      <c r="M83" s="56">
        <f>IF($E83="","",$E83*'参数配置'!$B$8)</f>
        <v/>
      </c>
      <c r="N83" s="56">
        <f>IF($E83="","",IF($E83&lt;='参数配置'!$B$7,$E83*'参数配置'!$B$6,0))</f>
        <v/>
      </c>
      <c r="O83" s="56">
        <f>IF($E83="","",$E83*$G83)</f>
        <v/>
      </c>
      <c r="P83" s="56">
        <f>IF($E83="","",$E83*'参数配置'!$B$10)</f>
        <v/>
      </c>
      <c r="Q83" s="56">
        <f>IF($E83="","",$E83*'参数配置'!$B$11)</f>
        <v/>
      </c>
      <c r="R83" s="56">
        <f>IF($E83="","",$I83+$F83+$J83+$K83+$L83+$M83+$N83+$O83+$P83+$Q83)</f>
        <v/>
      </c>
      <c r="S83" s="56">
        <f>IF($E83="","",$E83-$R83)</f>
        <v/>
      </c>
      <c r="T83" s="57">
        <f>IF(OR($E83="",$E83=0),"",$S83/$E83)</f>
        <v/>
      </c>
      <c r="U83" s="38">
        <f>IF($E83="","",$S83*'参数配置'!$B$5)</f>
        <v/>
      </c>
      <c r="V83" s="57">
        <f>IF($E83="","",1-$H83-'参数配置'!$D$20-'参数配置'!$B$8-$G83-'参数配置'!$B$10-'参数配置'!$B$11-IF($E83&lt;='参数配置'!$B$7,'参数配置'!$B$6,0))</f>
        <v/>
      </c>
      <c r="W83" s="56">
        <f>IF($E83="","",$I83+$F83+$L83)</f>
        <v/>
      </c>
      <c r="X83" s="56">
        <f>IF($E83="","",IF($V83&gt;0,$W83/$V83,""))</f>
        <v/>
      </c>
      <c r="Y83" s="56">
        <f>IF($E83="","",IF(($V83-'参数配置'!$B$9)&gt;0,$W83/($V83-'参数配置'!$B$9),""))</f>
        <v/>
      </c>
      <c r="Z83" s="37">
        <f>IF($E83="","",IF(OR($C83="禁售",$C83="需资质"),"⛔"&amp;$C83&amp;"·不应进入利润表",IF($V83&lt;=0,"❗贡献率≤0·任何价都亏损",IF($E83&lt;$X83,"⛔低于保本价·亏损",IF($Y83="","⚠️目标不可达·需降本",IF($E83&lt;$Y83,"⚠️低于红线·未达目标利润率","✅达目标利润率"))))))</f>
        <v/>
      </c>
    </row>
    <row r="84">
      <c r="A84" s="52" t="n"/>
      <c r="B84" s="46">
        <f>IFERROR(VLOOKUP($A84,'SKU主表'!$A:$M,2,0),"")</f>
        <v/>
      </c>
      <c r="C84" s="47">
        <f>IFERROR(VLOOKUP($A84,'SKU主表'!$A:$M,9,0),"")</f>
        <v/>
      </c>
      <c r="D84" s="47">
        <f>IFERROR(VLOOKUP($A84,'SKU主表'!$A:$M,5,0),"")</f>
        <v/>
      </c>
      <c r="E84" s="58" t="n"/>
      <c r="F84" s="58" t="n"/>
      <c r="G84" s="59" t="n"/>
      <c r="H84" s="59">
        <f>'参数配置'!$D$22</f>
        <v/>
      </c>
      <c r="I84" s="56">
        <f>IF($D84="","",$D84/'参数配置'!$B$5)</f>
        <v/>
      </c>
      <c r="J84" s="56">
        <f>IF($E84="","",$E84*$H84)</f>
        <v/>
      </c>
      <c r="K84" s="56">
        <f>IF($E84="","",$E84*'参数配置'!$D$20)</f>
        <v/>
      </c>
      <c r="L84" s="56">
        <f>IF($E84="","",'参数配置'!$D$21)</f>
        <v/>
      </c>
      <c r="M84" s="56">
        <f>IF($E84="","",$E84*'参数配置'!$B$8)</f>
        <v/>
      </c>
      <c r="N84" s="56">
        <f>IF($E84="","",IF($E84&lt;='参数配置'!$B$7,$E84*'参数配置'!$B$6,0))</f>
        <v/>
      </c>
      <c r="O84" s="56">
        <f>IF($E84="","",$E84*$G84)</f>
        <v/>
      </c>
      <c r="P84" s="56">
        <f>IF($E84="","",$E84*'参数配置'!$B$10)</f>
        <v/>
      </c>
      <c r="Q84" s="56">
        <f>IF($E84="","",$E84*'参数配置'!$B$11)</f>
        <v/>
      </c>
      <c r="R84" s="56">
        <f>IF($E84="","",$I84+$F84+$J84+$K84+$L84+$M84+$N84+$O84+$P84+$Q84)</f>
        <v/>
      </c>
      <c r="S84" s="56">
        <f>IF($E84="","",$E84-$R84)</f>
        <v/>
      </c>
      <c r="T84" s="57">
        <f>IF(OR($E84="",$E84=0),"",$S84/$E84)</f>
        <v/>
      </c>
      <c r="U84" s="38">
        <f>IF($E84="","",$S84*'参数配置'!$B$5)</f>
        <v/>
      </c>
      <c r="V84" s="57">
        <f>IF($E84="","",1-$H84-'参数配置'!$D$20-'参数配置'!$B$8-$G84-'参数配置'!$B$10-'参数配置'!$B$11-IF($E84&lt;='参数配置'!$B$7,'参数配置'!$B$6,0))</f>
        <v/>
      </c>
      <c r="W84" s="56">
        <f>IF($E84="","",$I84+$F84+$L84)</f>
        <v/>
      </c>
      <c r="X84" s="56">
        <f>IF($E84="","",IF($V84&gt;0,$W84/$V84,""))</f>
        <v/>
      </c>
      <c r="Y84" s="56">
        <f>IF($E84="","",IF(($V84-'参数配置'!$B$9)&gt;0,$W84/($V84-'参数配置'!$B$9),""))</f>
        <v/>
      </c>
      <c r="Z84" s="37">
        <f>IF($E84="","",IF(OR($C84="禁售",$C84="需资质"),"⛔"&amp;$C84&amp;"·不应进入利润表",IF($V84&lt;=0,"❗贡献率≤0·任何价都亏损",IF($E84&lt;$X84,"⛔低于保本价·亏损",IF($Y84="","⚠️目标不可达·需降本",IF($E84&lt;$Y84,"⚠️低于红线·未达目标利润率","✅达目标利润率"))))))</f>
        <v/>
      </c>
    </row>
    <row r="85">
      <c r="A85" s="52" t="n"/>
      <c r="B85" s="46">
        <f>IFERROR(VLOOKUP($A85,'SKU主表'!$A:$M,2,0),"")</f>
        <v/>
      </c>
      <c r="C85" s="47">
        <f>IFERROR(VLOOKUP($A85,'SKU主表'!$A:$M,9,0),"")</f>
        <v/>
      </c>
      <c r="D85" s="47">
        <f>IFERROR(VLOOKUP($A85,'SKU主表'!$A:$M,5,0),"")</f>
        <v/>
      </c>
      <c r="E85" s="58" t="n"/>
      <c r="F85" s="58" t="n"/>
      <c r="G85" s="59" t="n"/>
      <c r="H85" s="59">
        <f>'参数配置'!$D$22</f>
        <v/>
      </c>
      <c r="I85" s="56">
        <f>IF($D85="","",$D85/'参数配置'!$B$5)</f>
        <v/>
      </c>
      <c r="J85" s="56">
        <f>IF($E85="","",$E85*$H85)</f>
        <v/>
      </c>
      <c r="K85" s="56">
        <f>IF($E85="","",$E85*'参数配置'!$D$20)</f>
        <v/>
      </c>
      <c r="L85" s="56">
        <f>IF($E85="","",'参数配置'!$D$21)</f>
        <v/>
      </c>
      <c r="M85" s="56">
        <f>IF($E85="","",$E85*'参数配置'!$B$8)</f>
        <v/>
      </c>
      <c r="N85" s="56">
        <f>IF($E85="","",IF($E85&lt;='参数配置'!$B$7,$E85*'参数配置'!$B$6,0))</f>
        <v/>
      </c>
      <c r="O85" s="56">
        <f>IF($E85="","",$E85*$G85)</f>
        <v/>
      </c>
      <c r="P85" s="56">
        <f>IF($E85="","",$E85*'参数配置'!$B$10)</f>
        <v/>
      </c>
      <c r="Q85" s="56">
        <f>IF($E85="","",$E85*'参数配置'!$B$11)</f>
        <v/>
      </c>
      <c r="R85" s="56">
        <f>IF($E85="","",$I85+$F85+$J85+$K85+$L85+$M85+$N85+$O85+$P85+$Q85)</f>
        <v/>
      </c>
      <c r="S85" s="56">
        <f>IF($E85="","",$E85-$R85)</f>
        <v/>
      </c>
      <c r="T85" s="57">
        <f>IF(OR($E85="",$E85=0),"",$S85/$E85)</f>
        <v/>
      </c>
      <c r="U85" s="38">
        <f>IF($E85="","",$S85*'参数配置'!$B$5)</f>
        <v/>
      </c>
      <c r="V85" s="57">
        <f>IF($E85="","",1-$H85-'参数配置'!$D$20-'参数配置'!$B$8-$G85-'参数配置'!$B$10-'参数配置'!$B$11-IF($E85&lt;='参数配置'!$B$7,'参数配置'!$B$6,0))</f>
        <v/>
      </c>
      <c r="W85" s="56">
        <f>IF($E85="","",$I85+$F85+$L85)</f>
        <v/>
      </c>
      <c r="X85" s="56">
        <f>IF($E85="","",IF($V85&gt;0,$W85/$V85,""))</f>
        <v/>
      </c>
      <c r="Y85" s="56">
        <f>IF($E85="","",IF(($V85-'参数配置'!$B$9)&gt;0,$W85/($V85-'参数配置'!$B$9),""))</f>
        <v/>
      </c>
      <c r="Z85" s="37">
        <f>IF($E85="","",IF(OR($C85="禁售",$C85="需资质"),"⛔"&amp;$C85&amp;"·不应进入利润表",IF($V85&lt;=0,"❗贡献率≤0·任何价都亏损",IF($E85&lt;$X85,"⛔低于保本价·亏损",IF($Y85="","⚠️目标不可达·需降本",IF($E85&lt;$Y85,"⚠️低于红线·未达目标利润率","✅达目标利润率"))))))</f>
        <v/>
      </c>
    </row>
    <row r="86">
      <c r="A86" s="52" t="n"/>
      <c r="B86" s="46">
        <f>IFERROR(VLOOKUP($A86,'SKU主表'!$A:$M,2,0),"")</f>
        <v/>
      </c>
      <c r="C86" s="47">
        <f>IFERROR(VLOOKUP($A86,'SKU主表'!$A:$M,9,0),"")</f>
        <v/>
      </c>
      <c r="D86" s="47">
        <f>IFERROR(VLOOKUP($A86,'SKU主表'!$A:$M,5,0),"")</f>
        <v/>
      </c>
      <c r="E86" s="58" t="n"/>
      <c r="F86" s="58" t="n"/>
      <c r="G86" s="59" t="n"/>
      <c r="H86" s="59">
        <f>'参数配置'!$D$22</f>
        <v/>
      </c>
      <c r="I86" s="56">
        <f>IF($D86="","",$D86/'参数配置'!$B$5)</f>
        <v/>
      </c>
      <c r="J86" s="56">
        <f>IF($E86="","",$E86*$H86)</f>
        <v/>
      </c>
      <c r="K86" s="56">
        <f>IF($E86="","",$E86*'参数配置'!$D$20)</f>
        <v/>
      </c>
      <c r="L86" s="56">
        <f>IF($E86="","",'参数配置'!$D$21)</f>
        <v/>
      </c>
      <c r="M86" s="56">
        <f>IF($E86="","",$E86*'参数配置'!$B$8)</f>
        <v/>
      </c>
      <c r="N86" s="56">
        <f>IF($E86="","",IF($E86&lt;='参数配置'!$B$7,$E86*'参数配置'!$B$6,0))</f>
        <v/>
      </c>
      <c r="O86" s="56">
        <f>IF($E86="","",$E86*$G86)</f>
        <v/>
      </c>
      <c r="P86" s="56">
        <f>IF($E86="","",$E86*'参数配置'!$B$10)</f>
        <v/>
      </c>
      <c r="Q86" s="56">
        <f>IF($E86="","",$E86*'参数配置'!$B$11)</f>
        <v/>
      </c>
      <c r="R86" s="56">
        <f>IF($E86="","",$I86+$F86+$J86+$K86+$L86+$M86+$N86+$O86+$P86+$Q86)</f>
        <v/>
      </c>
      <c r="S86" s="56">
        <f>IF($E86="","",$E86-$R86)</f>
        <v/>
      </c>
      <c r="T86" s="57">
        <f>IF(OR($E86="",$E86=0),"",$S86/$E86)</f>
        <v/>
      </c>
      <c r="U86" s="38">
        <f>IF($E86="","",$S86*'参数配置'!$B$5)</f>
        <v/>
      </c>
      <c r="V86" s="57">
        <f>IF($E86="","",1-$H86-'参数配置'!$D$20-'参数配置'!$B$8-$G86-'参数配置'!$B$10-'参数配置'!$B$11-IF($E86&lt;='参数配置'!$B$7,'参数配置'!$B$6,0))</f>
        <v/>
      </c>
      <c r="W86" s="56">
        <f>IF($E86="","",$I86+$F86+$L86)</f>
        <v/>
      </c>
      <c r="X86" s="56">
        <f>IF($E86="","",IF($V86&gt;0,$W86/$V86,""))</f>
        <v/>
      </c>
      <c r="Y86" s="56">
        <f>IF($E86="","",IF(($V86-'参数配置'!$B$9)&gt;0,$W86/($V86-'参数配置'!$B$9),""))</f>
        <v/>
      </c>
      <c r="Z86" s="37">
        <f>IF($E86="","",IF(OR($C86="禁售",$C86="需资质"),"⛔"&amp;$C86&amp;"·不应进入利润表",IF($V86&lt;=0,"❗贡献率≤0·任何价都亏损",IF($E86&lt;$X86,"⛔低于保本价·亏损",IF($Y86="","⚠️目标不可达·需降本",IF($E86&lt;$Y86,"⚠️低于红线·未达目标利润率","✅达目标利润率"))))))</f>
        <v/>
      </c>
    </row>
    <row r="87">
      <c r="A87" s="52" t="n"/>
      <c r="B87" s="46">
        <f>IFERROR(VLOOKUP($A87,'SKU主表'!$A:$M,2,0),"")</f>
        <v/>
      </c>
      <c r="C87" s="47">
        <f>IFERROR(VLOOKUP($A87,'SKU主表'!$A:$M,9,0),"")</f>
        <v/>
      </c>
      <c r="D87" s="47">
        <f>IFERROR(VLOOKUP($A87,'SKU主表'!$A:$M,5,0),"")</f>
        <v/>
      </c>
      <c r="E87" s="58" t="n"/>
      <c r="F87" s="58" t="n"/>
      <c r="G87" s="59" t="n"/>
      <c r="H87" s="59">
        <f>'参数配置'!$D$22</f>
        <v/>
      </c>
      <c r="I87" s="56">
        <f>IF($D87="","",$D87/'参数配置'!$B$5)</f>
        <v/>
      </c>
      <c r="J87" s="56">
        <f>IF($E87="","",$E87*$H87)</f>
        <v/>
      </c>
      <c r="K87" s="56">
        <f>IF($E87="","",$E87*'参数配置'!$D$20)</f>
        <v/>
      </c>
      <c r="L87" s="56">
        <f>IF($E87="","",'参数配置'!$D$21)</f>
        <v/>
      </c>
      <c r="M87" s="56">
        <f>IF($E87="","",$E87*'参数配置'!$B$8)</f>
        <v/>
      </c>
      <c r="N87" s="56">
        <f>IF($E87="","",IF($E87&lt;='参数配置'!$B$7,$E87*'参数配置'!$B$6,0))</f>
        <v/>
      </c>
      <c r="O87" s="56">
        <f>IF($E87="","",$E87*$G87)</f>
        <v/>
      </c>
      <c r="P87" s="56">
        <f>IF($E87="","",$E87*'参数配置'!$B$10)</f>
        <v/>
      </c>
      <c r="Q87" s="56">
        <f>IF($E87="","",$E87*'参数配置'!$B$11)</f>
        <v/>
      </c>
      <c r="R87" s="56">
        <f>IF($E87="","",$I87+$F87+$J87+$K87+$L87+$M87+$N87+$O87+$P87+$Q87)</f>
        <v/>
      </c>
      <c r="S87" s="56">
        <f>IF($E87="","",$E87-$R87)</f>
        <v/>
      </c>
      <c r="T87" s="57">
        <f>IF(OR($E87="",$E87=0),"",$S87/$E87)</f>
        <v/>
      </c>
      <c r="U87" s="38">
        <f>IF($E87="","",$S87*'参数配置'!$B$5)</f>
        <v/>
      </c>
      <c r="V87" s="57">
        <f>IF($E87="","",1-$H87-'参数配置'!$D$20-'参数配置'!$B$8-$G87-'参数配置'!$B$10-'参数配置'!$B$11-IF($E87&lt;='参数配置'!$B$7,'参数配置'!$B$6,0))</f>
        <v/>
      </c>
      <c r="W87" s="56">
        <f>IF($E87="","",$I87+$F87+$L87)</f>
        <v/>
      </c>
      <c r="X87" s="56">
        <f>IF($E87="","",IF($V87&gt;0,$W87/$V87,""))</f>
        <v/>
      </c>
      <c r="Y87" s="56">
        <f>IF($E87="","",IF(($V87-'参数配置'!$B$9)&gt;0,$W87/($V87-'参数配置'!$B$9),""))</f>
        <v/>
      </c>
      <c r="Z87" s="37">
        <f>IF($E87="","",IF(OR($C87="禁售",$C87="需资质"),"⛔"&amp;$C87&amp;"·不应进入利润表",IF($V87&lt;=0,"❗贡献率≤0·任何价都亏损",IF($E87&lt;$X87,"⛔低于保本价·亏损",IF($Y87="","⚠️目标不可达·需降本",IF($E87&lt;$Y87,"⚠️低于红线·未达目标利润率","✅达目标利润率"))))))</f>
        <v/>
      </c>
    </row>
    <row r="88">
      <c r="A88" s="52" t="n"/>
      <c r="B88" s="46">
        <f>IFERROR(VLOOKUP($A88,'SKU主表'!$A:$M,2,0),"")</f>
        <v/>
      </c>
      <c r="C88" s="47">
        <f>IFERROR(VLOOKUP($A88,'SKU主表'!$A:$M,9,0),"")</f>
        <v/>
      </c>
      <c r="D88" s="47">
        <f>IFERROR(VLOOKUP($A88,'SKU主表'!$A:$M,5,0),"")</f>
        <v/>
      </c>
      <c r="E88" s="58" t="n"/>
      <c r="F88" s="58" t="n"/>
      <c r="G88" s="59" t="n"/>
      <c r="H88" s="59">
        <f>'参数配置'!$D$22</f>
        <v/>
      </c>
      <c r="I88" s="56">
        <f>IF($D88="","",$D88/'参数配置'!$B$5)</f>
        <v/>
      </c>
      <c r="J88" s="56">
        <f>IF($E88="","",$E88*$H88)</f>
        <v/>
      </c>
      <c r="K88" s="56">
        <f>IF($E88="","",$E88*'参数配置'!$D$20)</f>
        <v/>
      </c>
      <c r="L88" s="56">
        <f>IF($E88="","",'参数配置'!$D$21)</f>
        <v/>
      </c>
      <c r="M88" s="56">
        <f>IF($E88="","",$E88*'参数配置'!$B$8)</f>
        <v/>
      </c>
      <c r="N88" s="56">
        <f>IF($E88="","",IF($E88&lt;='参数配置'!$B$7,$E88*'参数配置'!$B$6,0))</f>
        <v/>
      </c>
      <c r="O88" s="56">
        <f>IF($E88="","",$E88*$G88)</f>
        <v/>
      </c>
      <c r="P88" s="56">
        <f>IF($E88="","",$E88*'参数配置'!$B$10)</f>
        <v/>
      </c>
      <c r="Q88" s="56">
        <f>IF($E88="","",$E88*'参数配置'!$B$11)</f>
        <v/>
      </c>
      <c r="R88" s="56">
        <f>IF($E88="","",$I88+$F88+$J88+$K88+$L88+$M88+$N88+$O88+$P88+$Q88)</f>
        <v/>
      </c>
      <c r="S88" s="56">
        <f>IF($E88="","",$E88-$R88)</f>
        <v/>
      </c>
      <c r="T88" s="57">
        <f>IF(OR($E88="",$E88=0),"",$S88/$E88)</f>
        <v/>
      </c>
      <c r="U88" s="38">
        <f>IF($E88="","",$S88*'参数配置'!$B$5)</f>
        <v/>
      </c>
      <c r="V88" s="57">
        <f>IF($E88="","",1-$H88-'参数配置'!$D$20-'参数配置'!$B$8-$G88-'参数配置'!$B$10-'参数配置'!$B$11-IF($E88&lt;='参数配置'!$B$7,'参数配置'!$B$6,0))</f>
        <v/>
      </c>
      <c r="W88" s="56">
        <f>IF($E88="","",$I88+$F88+$L88)</f>
        <v/>
      </c>
      <c r="X88" s="56">
        <f>IF($E88="","",IF($V88&gt;0,$W88/$V88,""))</f>
        <v/>
      </c>
      <c r="Y88" s="56">
        <f>IF($E88="","",IF(($V88-'参数配置'!$B$9)&gt;0,$W88/($V88-'参数配置'!$B$9),""))</f>
        <v/>
      </c>
      <c r="Z88" s="37">
        <f>IF($E88="","",IF(OR($C88="禁售",$C88="需资质"),"⛔"&amp;$C88&amp;"·不应进入利润表",IF($V88&lt;=0,"❗贡献率≤0·任何价都亏损",IF($E88&lt;$X88,"⛔低于保本价·亏损",IF($Y88="","⚠️目标不可达·需降本",IF($E88&lt;$Y88,"⚠️低于红线·未达目标利润率","✅达目标利润率"))))))</f>
        <v/>
      </c>
    </row>
    <row r="89">
      <c r="A89" s="52" t="n"/>
      <c r="B89" s="46">
        <f>IFERROR(VLOOKUP($A89,'SKU主表'!$A:$M,2,0),"")</f>
        <v/>
      </c>
      <c r="C89" s="47">
        <f>IFERROR(VLOOKUP($A89,'SKU主表'!$A:$M,9,0),"")</f>
        <v/>
      </c>
      <c r="D89" s="47">
        <f>IFERROR(VLOOKUP($A89,'SKU主表'!$A:$M,5,0),"")</f>
        <v/>
      </c>
      <c r="E89" s="58" t="n"/>
      <c r="F89" s="58" t="n"/>
      <c r="G89" s="59" t="n"/>
      <c r="H89" s="59">
        <f>'参数配置'!$D$22</f>
        <v/>
      </c>
      <c r="I89" s="56">
        <f>IF($D89="","",$D89/'参数配置'!$B$5)</f>
        <v/>
      </c>
      <c r="J89" s="56">
        <f>IF($E89="","",$E89*$H89)</f>
        <v/>
      </c>
      <c r="K89" s="56">
        <f>IF($E89="","",$E89*'参数配置'!$D$20)</f>
        <v/>
      </c>
      <c r="L89" s="56">
        <f>IF($E89="","",'参数配置'!$D$21)</f>
        <v/>
      </c>
      <c r="M89" s="56">
        <f>IF($E89="","",$E89*'参数配置'!$B$8)</f>
        <v/>
      </c>
      <c r="N89" s="56">
        <f>IF($E89="","",IF($E89&lt;='参数配置'!$B$7,$E89*'参数配置'!$B$6,0))</f>
        <v/>
      </c>
      <c r="O89" s="56">
        <f>IF($E89="","",$E89*$G89)</f>
        <v/>
      </c>
      <c r="P89" s="56">
        <f>IF($E89="","",$E89*'参数配置'!$B$10)</f>
        <v/>
      </c>
      <c r="Q89" s="56">
        <f>IF($E89="","",$E89*'参数配置'!$B$11)</f>
        <v/>
      </c>
      <c r="R89" s="56">
        <f>IF($E89="","",$I89+$F89+$J89+$K89+$L89+$M89+$N89+$O89+$P89+$Q89)</f>
        <v/>
      </c>
      <c r="S89" s="56">
        <f>IF($E89="","",$E89-$R89)</f>
        <v/>
      </c>
      <c r="T89" s="57">
        <f>IF(OR($E89="",$E89=0),"",$S89/$E89)</f>
        <v/>
      </c>
      <c r="U89" s="38">
        <f>IF($E89="","",$S89*'参数配置'!$B$5)</f>
        <v/>
      </c>
      <c r="V89" s="57">
        <f>IF($E89="","",1-$H89-'参数配置'!$D$20-'参数配置'!$B$8-$G89-'参数配置'!$B$10-'参数配置'!$B$11-IF($E89&lt;='参数配置'!$B$7,'参数配置'!$B$6,0))</f>
        <v/>
      </c>
      <c r="W89" s="56">
        <f>IF($E89="","",$I89+$F89+$L89)</f>
        <v/>
      </c>
      <c r="X89" s="56">
        <f>IF($E89="","",IF($V89&gt;0,$W89/$V89,""))</f>
        <v/>
      </c>
      <c r="Y89" s="56">
        <f>IF($E89="","",IF(($V89-'参数配置'!$B$9)&gt;0,$W89/($V89-'参数配置'!$B$9),""))</f>
        <v/>
      </c>
      <c r="Z89" s="37">
        <f>IF($E89="","",IF(OR($C89="禁售",$C89="需资质"),"⛔"&amp;$C89&amp;"·不应进入利润表",IF($V89&lt;=0,"❗贡献率≤0·任何价都亏损",IF($E89&lt;$X89,"⛔低于保本价·亏损",IF($Y89="","⚠️目标不可达·需降本",IF($E89&lt;$Y89,"⚠️低于红线·未达目标利润率","✅达目标利润率"))))))</f>
        <v/>
      </c>
    </row>
    <row r="90">
      <c r="A90" s="52" t="n"/>
      <c r="B90" s="46">
        <f>IFERROR(VLOOKUP($A90,'SKU主表'!$A:$M,2,0),"")</f>
        <v/>
      </c>
      <c r="C90" s="47">
        <f>IFERROR(VLOOKUP($A90,'SKU主表'!$A:$M,9,0),"")</f>
        <v/>
      </c>
      <c r="D90" s="47">
        <f>IFERROR(VLOOKUP($A90,'SKU主表'!$A:$M,5,0),"")</f>
        <v/>
      </c>
      <c r="E90" s="58" t="n"/>
      <c r="F90" s="58" t="n"/>
      <c r="G90" s="59" t="n"/>
      <c r="H90" s="59">
        <f>'参数配置'!$D$22</f>
        <v/>
      </c>
      <c r="I90" s="56">
        <f>IF($D90="","",$D90/'参数配置'!$B$5)</f>
        <v/>
      </c>
      <c r="J90" s="56">
        <f>IF($E90="","",$E90*$H90)</f>
        <v/>
      </c>
      <c r="K90" s="56">
        <f>IF($E90="","",$E90*'参数配置'!$D$20)</f>
        <v/>
      </c>
      <c r="L90" s="56">
        <f>IF($E90="","",'参数配置'!$D$21)</f>
        <v/>
      </c>
      <c r="M90" s="56">
        <f>IF($E90="","",$E90*'参数配置'!$B$8)</f>
        <v/>
      </c>
      <c r="N90" s="56">
        <f>IF($E90="","",IF($E90&lt;='参数配置'!$B$7,$E90*'参数配置'!$B$6,0))</f>
        <v/>
      </c>
      <c r="O90" s="56">
        <f>IF($E90="","",$E90*$G90)</f>
        <v/>
      </c>
      <c r="P90" s="56">
        <f>IF($E90="","",$E90*'参数配置'!$B$10)</f>
        <v/>
      </c>
      <c r="Q90" s="56">
        <f>IF($E90="","",$E90*'参数配置'!$B$11)</f>
        <v/>
      </c>
      <c r="R90" s="56">
        <f>IF($E90="","",$I90+$F90+$J90+$K90+$L90+$M90+$N90+$O90+$P90+$Q90)</f>
        <v/>
      </c>
      <c r="S90" s="56">
        <f>IF($E90="","",$E90-$R90)</f>
        <v/>
      </c>
      <c r="T90" s="57">
        <f>IF(OR($E90="",$E90=0),"",$S90/$E90)</f>
        <v/>
      </c>
      <c r="U90" s="38">
        <f>IF($E90="","",$S90*'参数配置'!$B$5)</f>
        <v/>
      </c>
      <c r="V90" s="57">
        <f>IF($E90="","",1-$H90-'参数配置'!$D$20-'参数配置'!$B$8-$G90-'参数配置'!$B$10-'参数配置'!$B$11-IF($E90&lt;='参数配置'!$B$7,'参数配置'!$B$6,0))</f>
        <v/>
      </c>
      <c r="W90" s="56">
        <f>IF($E90="","",$I90+$F90+$L90)</f>
        <v/>
      </c>
      <c r="X90" s="56">
        <f>IF($E90="","",IF($V90&gt;0,$W90/$V90,""))</f>
        <v/>
      </c>
      <c r="Y90" s="56">
        <f>IF($E90="","",IF(($V90-'参数配置'!$B$9)&gt;0,$W90/($V90-'参数配置'!$B$9),""))</f>
        <v/>
      </c>
      <c r="Z90" s="37">
        <f>IF($E90="","",IF(OR($C90="禁售",$C90="需资质"),"⛔"&amp;$C90&amp;"·不应进入利润表",IF($V90&lt;=0,"❗贡献率≤0·任何价都亏损",IF($E90&lt;$X90,"⛔低于保本价·亏损",IF($Y90="","⚠️目标不可达·需降本",IF($E90&lt;$Y90,"⚠️低于红线·未达目标利润率","✅达目标利润率"))))))</f>
        <v/>
      </c>
    </row>
    <row r="91">
      <c r="A91" s="52" t="n"/>
      <c r="B91" s="46">
        <f>IFERROR(VLOOKUP($A91,'SKU主表'!$A:$M,2,0),"")</f>
        <v/>
      </c>
      <c r="C91" s="47">
        <f>IFERROR(VLOOKUP($A91,'SKU主表'!$A:$M,9,0),"")</f>
        <v/>
      </c>
      <c r="D91" s="47">
        <f>IFERROR(VLOOKUP($A91,'SKU主表'!$A:$M,5,0),"")</f>
        <v/>
      </c>
      <c r="E91" s="58" t="n"/>
      <c r="F91" s="58" t="n"/>
      <c r="G91" s="59" t="n"/>
      <c r="H91" s="59">
        <f>'参数配置'!$D$22</f>
        <v/>
      </c>
      <c r="I91" s="56">
        <f>IF($D91="","",$D91/'参数配置'!$B$5)</f>
        <v/>
      </c>
      <c r="J91" s="56">
        <f>IF($E91="","",$E91*$H91)</f>
        <v/>
      </c>
      <c r="K91" s="56">
        <f>IF($E91="","",$E91*'参数配置'!$D$20)</f>
        <v/>
      </c>
      <c r="L91" s="56">
        <f>IF($E91="","",'参数配置'!$D$21)</f>
        <v/>
      </c>
      <c r="M91" s="56">
        <f>IF($E91="","",$E91*'参数配置'!$B$8)</f>
        <v/>
      </c>
      <c r="N91" s="56">
        <f>IF($E91="","",IF($E91&lt;='参数配置'!$B$7,$E91*'参数配置'!$B$6,0))</f>
        <v/>
      </c>
      <c r="O91" s="56">
        <f>IF($E91="","",$E91*$G91)</f>
        <v/>
      </c>
      <c r="P91" s="56">
        <f>IF($E91="","",$E91*'参数配置'!$B$10)</f>
        <v/>
      </c>
      <c r="Q91" s="56">
        <f>IF($E91="","",$E91*'参数配置'!$B$11)</f>
        <v/>
      </c>
      <c r="R91" s="56">
        <f>IF($E91="","",$I91+$F91+$J91+$K91+$L91+$M91+$N91+$O91+$P91+$Q91)</f>
        <v/>
      </c>
      <c r="S91" s="56">
        <f>IF($E91="","",$E91-$R91)</f>
        <v/>
      </c>
      <c r="T91" s="57">
        <f>IF(OR($E91="",$E91=0),"",$S91/$E91)</f>
        <v/>
      </c>
      <c r="U91" s="38">
        <f>IF($E91="","",$S91*'参数配置'!$B$5)</f>
        <v/>
      </c>
      <c r="V91" s="57">
        <f>IF($E91="","",1-$H91-'参数配置'!$D$20-'参数配置'!$B$8-$G91-'参数配置'!$B$10-'参数配置'!$B$11-IF($E91&lt;='参数配置'!$B$7,'参数配置'!$B$6,0))</f>
        <v/>
      </c>
      <c r="W91" s="56">
        <f>IF($E91="","",$I91+$F91+$L91)</f>
        <v/>
      </c>
      <c r="X91" s="56">
        <f>IF($E91="","",IF($V91&gt;0,$W91/$V91,""))</f>
        <v/>
      </c>
      <c r="Y91" s="56">
        <f>IF($E91="","",IF(($V91-'参数配置'!$B$9)&gt;0,$W91/($V91-'参数配置'!$B$9),""))</f>
        <v/>
      </c>
      <c r="Z91" s="37">
        <f>IF($E91="","",IF(OR($C91="禁售",$C91="需资质"),"⛔"&amp;$C91&amp;"·不应进入利润表",IF($V91&lt;=0,"❗贡献率≤0·任何价都亏损",IF($E91&lt;$X91,"⛔低于保本价·亏损",IF($Y91="","⚠️目标不可达·需降本",IF($E91&lt;$Y91,"⚠️低于红线·未达目标利润率","✅达目标利润率"))))))</f>
        <v/>
      </c>
    </row>
    <row r="92">
      <c r="A92" s="52" t="n"/>
      <c r="B92" s="46">
        <f>IFERROR(VLOOKUP($A92,'SKU主表'!$A:$M,2,0),"")</f>
        <v/>
      </c>
      <c r="C92" s="47">
        <f>IFERROR(VLOOKUP($A92,'SKU主表'!$A:$M,9,0),"")</f>
        <v/>
      </c>
      <c r="D92" s="47">
        <f>IFERROR(VLOOKUP($A92,'SKU主表'!$A:$M,5,0),"")</f>
        <v/>
      </c>
      <c r="E92" s="58" t="n"/>
      <c r="F92" s="58" t="n"/>
      <c r="G92" s="59" t="n"/>
      <c r="H92" s="59">
        <f>'参数配置'!$D$22</f>
        <v/>
      </c>
      <c r="I92" s="56">
        <f>IF($D92="","",$D92/'参数配置'!$B$5)</f>
        <v/>
      </c>
      <c r="J92" s="56">
        <f>IF($E92="","",$E92*$H92)</f>
        <v/>
      </c>
      <c r="K92" s="56">
        <f>IF($E92="","",$E92*'参数配置'!$D$20)</f>
        <v/>
      </c>
      <c r="L92" s="56">
        <f>IF($E92="","",'参数配置'!$D$21)</f>
        <v/>
      </c>
      <c r="M92" s="56">
        <f>IF($E92="","",$E92*'参数配置'!$B$8)</f>
        <v/>
      </c>
      <c r="N92" s="56">
        <f>IF($E92="","",IF($E92&lt;='参数配置'!$B$7,$E92*'参数配置'!$B$6,0))</f>
        <v/>
      </c>
      <c r="O92" s="56">
        <f>IF($E92="","",$E92*$G92)</f>
        <v/>
      </c>
      <c r="P92" s="56">
        <f>IF($E92="","",$E92*'参数配置'!$B$10)</f>
        <v/>
      </c>
      <c r="Q92" s="56">
        <f>IF($E92="","",$E92*'参数配置'!$B$11)</f>
        <v/>
      </c>
      <c r="R92" s="56">
        <f>IF($E92="","",$I92+$F92+$J92+$K92+$L92+$M92+$N92+$O92+$P92+$Q92)</f>
        <v/>
      </c>
      <c r="S92" s="56">
        <f>IF($E92="","",$E92-$R92)</f>
        <v/>
      </c>
      <c r="T92" s="57">
        <f>IF(OR($E92="",$E92=0),"",$S92/$E92)</f>
        <v/>
      </c>
      <c r="U92" s="38">
        <f>IF($E92="","",$S92*'参数配置'!$B$5)</f>
        <v/>
      </c>
      <c r="V92" s="57">
        <f>IF($E92="","",1-$H92-'参数配置'!$D$20-'参数配置'!$B$8-$G92-'参数配置'!$B$10-'参数配置'!$B$11-IF($E92&lt;='参数配置'!$B$7,'参数配置'!$B$6,0))</f>
        <v/>
      </c>
      <c r="W92" s="56">
        <f>IF($E92="","",$I92+$F92+$L92)</f>
        <v/>
      </c>
      <c r="X92" s="56">
        <f>IF($E92="","",IF($V92&gt;0,$W92/$V92,""))</f>
        <v/>
      </c>
      <c r="Y92" s="56">
        <f>IF($E92="","",IF(($V92-'参数配置'!$B$9)&gt;0,$W92/($V92-'参数配置'!$B$9),""))</f>
        <v/>
      </c>
      <c r="Z92" s="37">
        <f>IF($E92="","",IF(OR($C92="禁售",$C92="需资质"),"⛔"&amp;$C92&amp;"·不应进入利润表",IF($V92&lt;=0,"❗贡献率≤0·任何价都亏损",IF($E92&lt;$X92,"⛔低于保本价·亏损",IF($Y92="","⚠️目标不可达·需降本",IF($E92&lt;$Y92,"⚠️低于红线·未达目标利润率","✅达目标利润率"))))))</f>
        <v/>
      </c>
    </row>
    <row r="93">
      <c r="A93" s="52" t="n"/>
      <c r="B93" s="46">
        <f>IFERROR(VLOOKUP($A93,'SKU主表'!$A:$M,2,0),"")</f>
        <v/>
      </c>
      <c r="C93" s="47">
        <f>IFERROR(VLOOKUP($A93,'SKU主表'!$A:$M,9,0),"")</f>
        <v/>
      </c>
      <c r="D93" s="47">
        <f>IFERROR(VLOOKUP($A93,'SKU主表'!$A:$M,5,0),"")</f>
        <v/>
      </c>
      <c r="E93" s="58" t="n"/>
      <c r="F93" s="58" t="n"/>
      <c r="G93" s="59" t="n"/>
      <c r="H93" s="59">
        <f>'参数配置'!$D$22</f>
        <v/>
      </c>
      <c r="I93" s="56">
        <f>IF($D93="","",$D93/'参数配置'!$B$5)</f>
        <v/>
      </c>
      <c r="J93" s="56">
        <f>IF($E93="","",$E93*$H93)</f>
        <v/>
      </c>
      <c r="K93" s="56">
        <f>IF($E93="","",$E93*'参数配置'!$D$20)</f>
        <v/>
      </c>
      <c r="L93" s="56">
        <f>IF($E93="","",'参数配置'!$D$21)</f>
        <v/>
      </c>
      <c r="M93" s="56">
        <f>IF($E93="","",$E93*'参数配置'!$B$8)</f>
        <v/>
      </c>
      <c r="N93" s="56">
        <f>IF($E93="","",IF($E93&lt;='参数配置'!$B$7,$E93*'参数配置'!$B$6,0))</f>
        <v/>
      </c>
      <c r="O93" s="56">
        <f>IF($E93="","",$E93*$G93)</f>
        <v/>
      </c>
      <c r="P93" s="56">
        <f>IF($E93="","",$E93*'参数配置'!$B$10)</f>
        <v/>
      </c>
      <c r="Q93" s="56">
        <f>IF($E93="","",$E93*'参数配置'!$B$11)</f>
        <v/>
      </c>
      <c r="R93" s="56">
        <f>IF($E93="","",$I93+$F93+$J93+$K93+$L93+$M93+$N93+$O93+$P93+$Q93)</f>
        <v/>
      </c>
      <c r="S93" s="56">
        <f>IF($E93="","",$E93-$R93)</f>
        <v/>
      </c>
      <c r="T93" s="57">
        <f>IF(OR($E93="",$E93=0),"",$S93/$E93)</f>
        <v/>
      </c>
      <c r="U93" s="38">
        <f>IF($E93="","",$S93*'参数配置'!$B$5)</f>
        <v/>
      </c>
      <c r="V93" s="57">
        <f>IF($E93="","",1-$H93-'参数配置'!$D$20-'参数配置'!$B$8-$G93-'参数配置'!$B$10-'参数配置'!$B$11-IF($E93&lt;='参数配置'!$B$7,'参数配置'!$B$6,0))</f>
        <v/>
      </c>
      <c r="W93" s="56">
        <f>IF($E93="","",$I93+$F93+$L93)</f>
        <v/>
      </c>
      <c r="X93" s="56">
        <f>IF($E93="","",IF($V93&gt;0,$W93/$V93,""))</f>
        <v/>
      </c>
      <c r="Y93" s="56">
        <f>IF($E93="","",IF(($V93-'参数配置'!$B$9)&gt;0,$W93/($V93-'参数配置'!$B$9),""))</f>
        <v/>
      </c>
      <c r="Z93" s="37">
        <f>IF($E93="","",IF(OR($C93="禁售",$C93="需资质"),"⛔"&amp;$C93&amp;"·不应进入利润表",IF($V93&lt;=0,"❗贡献率≤0·任何价都亏损",IF($E93&lt;$X93,"⛔低于保本价·亏损",IF($Y93="","⚠️目标不可达·需降本",IF($E93&lt;$Y93,"⚠️低于红线·未达目标利润率","✅达目标利润率"))))))</f>
        <v/>
      </c>
    </row>
    <row r="94">
      <c r="A94" s="52" t="n"/>
      <c r="B94" s="46">
        <f>IFERROR(VLOOKUP($A94,'SKU主表'!$A:$M,2,0),"")</f>
        <v/>
      </c>
      <c r="C94" s="47">
        <f>IFERROR(VLOOKUP($A94,'SKU主表'!$A:$M,9,0),"")</f>
        <v/>
      </c>
      <c r="D94" s="47">
        <f>IFERROR(VLOOKUP($A94,'SKU主表'!$A:$M,5,0),"")</f>
        <v/>
      </c>
      <c r="E94" s="58" t="n"/>
      <c r="F94" s="58" t="n"/>
      <c r="G94" s="59" t="n"/>
      <c r="H94" s="59">
        <f>'参数配置'!$D$22</f>
        <v/>
      </c>
      <c r="I94" s="56">
        <f>IF($D94="","",$D94/'参数配置'!$B$5)</f>
        <v/>
      </c>
      <c r="J94" s="56">
        <f>IF($E94="","",$E94*$H94)</f>
        <v/>
      </c>
      <c r="K94" s="56">
        <f>IF($E94="","",$E94*'参数配置'!$D$20)</f>
        <v/>
      </c>
      <c r="L94" s="56">
        <f>IF($E94="","",'参数配置'!$D$21)</f>
        <v/>
      </c>
      <c r="M94" s="56">
        <f>IF($E94="","",$E94*'参数配置'!$B$8)</f>
        <v/>
      </c>
      <c r="N94" s="56">
        <f>IF($E94="","",IF($E94&lt;='参数配置'!$B$7,$E94*'参数配置'!$B$6,0))</f>
        <v/>
      </c>
      <c r="O94" s="56">
        <f>IF($E94="","",$E94*$G94)</f>
        <v/>
      </c>
      <c r="P94" s="56">
        <f>IF($E94="","",$E94*'参数配置'!$B$10)</f>
        <v/>
      </c>
      <c r="Q94" s="56">
        <f>IF($E94="","",$E94*'参数配置'!$B$11)</f>
        <v/>
      </c>
      <c r="R94" s="56">
        <f>IF($E94="","",$I94+$F94+$J94+$K94+$L94+$M94+$N94+$O94+$P94+$Q94)</f>
        <v/>
      </c>
      <c r="S94" s="56">
        <f>IF($E94="","",$E94-$R94)</f>
        <v/>
      </c>
      <c r="T94" s="57">
        <f>IF(OR($E94="",$E94=0),"",$S94/$E94)</f>
        <v/>
      </c>
      <c r="U94" s="38">
        <f>IF($E94="","",$S94*'参数配置'!$B$5)</f>
        <v/>
      </c>
      <c r="V94" s="57">
        <f>IF($E94="","",1-$H94-'参数配置'!$D$20-'参数配置'!$B$8-$G94-'参数配置'!$B$10-'参数配置'!$B$11-IF($E94&lt;='参数配置'!$B$7,'参数配置'!$B$6,0))</f>
        <v/>
      </c>
      <c r="W94" s="56">
        <f>IF($E94="","",$I94+$F94+$L94)</f>
        <v/>
      </c>
      <c r="X94" s="56">
        <f>IF($E94="","",IF($V94&gt;0,$W94/$V94,""))</f>
        <v/>
      </c>
      <c r="Y94" s="56">
        <f>IF($E94="","",IF(($V94-'参数配置'!$B$9)&gt;0,$W94/($V94-'参数配置'!$B$9),""))</f>
        <v/>
      </c>
      <c r="Z94" s="37">
        <f>IF($E94="","",IF(OR($C94="禁售",$C94="需资质"),"⛔"&amp;$C94&amp;"·不应进入利润表",IF($V94&lt;=0,"❗贡献率≤0·任何价都亏损",IF($E94&lt;$X94,"⛔低于保本价·亏损",IF($Y94="","⚠️目标不可达·需降本",IF($E94&lt;$Y94,"⚠️低于红线·未达目标利润率","✅达目标利润率"))))))</f>
        <v/>
      </c>
    </row>
    <row r="95">
      <c r="A95" s="52" t="n"/>
      <c r="B95" s="46">
        <f>IFERROR(VLOOKUP($A95,'SKU主表'!$A:$M,2,0),"")</f>
        <v/>
      </c>
      <c r="C95" s="47">
        <f>IFERROR(VLOOKUP($A95,'SKU主表'!$A:$M,9,0),"")</f>
        <v/>
      </c>
      <c r="D95" s="47">
        <f>IFERROR(VLOOKUP($A95,'SKU主表'!$A:$M,5,0),"")</f>
        <v/>
      </c>
      <c r="E95" s="58" t="n"/>
      <c r="F95" s="58" t="n"/>
      <c r="G95" s="59" t="n"/>
      <c r="H95" s="59">
        <f>'参数配置'!$D$22</f>
        <v/>
      </c>
      <c r="I95" s="56">
        <f>IF($D95="","",$D95/'参数配置'!$B$5)</f>
        <v/>
      </c>
      <c r="J95" s="56">
        <f>IF($E95="","",$E95*$H95)</f>
        <v/>
      </c>
      <c r="K95" s="56">
        <f>IF($E95="","",$E95*'参数配置'!$D$20)</f>
        <v/>
      </c>
      <c r="L95" s="56">
        <f>IF($E95="","",'参数配置'!$D$21)</f>
        <v/>
      </c>
      <c r="M95" s="56">
        <f>IF($E95="","",$E95*'参数配置'!$B$8)</f>
        <v/>
      </c>
      <c r="N95" s="56">
        <f>IF($E95="","",IF($E95&lt;='参数配置'!$B$7,$E95*'参数配置'!$B$6,0))</f>
        <v/>
      </c>
      <c r="O95" s="56">
        <f>IF($E95="","",$E95*$G95)</f>
        <v/>
      </c>
      <c r="P95" s="56">
        <f>IF($E95="","",$E95*'参数配置'!$B$10)</f>
        <v/>
      </c>
      <c r="Q95" s="56">
        <f>IF($E95="","",$E95*'参数配置'!$B$11)</f>
        <v/>
      </c>
      <c r="R95" s="56">
        <f>IF($E95="","",$I95+$F95+$J95+$K95+$L95+$M95+$N95+$O95+$P95+$Q95)</f>
        <v/>
      </c>
      <c r="S95" s="56">
        <f>IF($E95="","",$E95-$R95)</f>
        <v/>
      </c>
      <c r="T95" s="57">
        <f>IF(OR($E95="",$E95=0),"",$S95/$E95)</f>
        <v/>
      </c>
      <c r="U95" s="38">
        <f>IF($E95="","",$S95*'参数配置'!$B$5)</f>
        <v/>
      </c>
      <c r="V95" s="57">
        <f>IF($E95="","",1-$H95-'参数配置'!$D$20-'参数配置'!$B$8-$G95-'参数配置'!$B$10-'参数配置'!$B$11-IF($E95&lt;='参数配置'!$B$7,'参数配置'!$B$6,0))</f>
        <v/>
      </c>
      <c r="W95" s="56">
        <f>IF($E95="","",$I95+$F95+$L95)</f>
        <v/>
      </c>
      <c r="X95" s="56">
        <f>IF($E95="","",IF($V95&gt;0,$W95/$V95,""))</f>
        <v/>
      </c>
      <c r="Y95" s="56">
        <f>IF($E95="","",IF(($V95-'参数配置'!$B$9)&gt;0,$W95/($V95-'参数配置'!$B$9),""))</f>
        <v/>
      </c>
      <c r="Z95" s="37">
        <f>IF($E95="","",IF(OR($C95="禁售",$C95="需资质"),"⛔"&amp;$C95&amp;"·不应进入利润表",IF($V95&lt;=0,"❗贡献率≤0·任何价都亏损",IF($E95&lt;$X95,"⛔低于保本价·亏损",IF($Y95="","⚠️目标不可达·需降本",IF($E95&lt;$Y95,"⚠️低于红线·未达目标利润率","✅达目标利润率"))))))</f>
        <v/>
      </c>
    </row>
    <row r="96">
      <c r="A96" s="52" t="n"/>
      <c r="B96" s="46">
        <f>IFERROR(VLOOKUP($A96,'SKU主表'!$A:$M,2,0),"")</f>
        <v/>
      </c>
      <c r="C96" s="47">
        <f>IFERROR(VLOOKUP($A96,'SKU主表'!$A:$M,9,0),"")</f>
        <v/>
      </c>
      <c r="D96" s="47">
        <f>IFERROR(VLOOKUP($A96,'SKU主表'!$A:$M,5,0),"")</f>
        <v/>
      </c>
      <c r="E96" s="58" t="n"/>
      <c r="F96" s="58" t="n"/>
      <c r="G96" s="59" t="n"/>
      <c r="H96" s="59">
        <f>'参数配置'!$D$22</f>
        <v/>
      </c>
      <c r="I96" s="56">
        <f>IF($D96="","",$D96/'参数配置'!$B$5)</f>
        <v/>
      </c>
      <c r="J96" s="56">
        <f>IF($E96="","",$E96*$H96)</f>
        <v/>
      </c>
      <c r="K96" s="56">
        <f>IF($E96="","",$E96*'参数配置'!$D$20)</f>
        <v/>
      </c>
      <c r="L96" s="56">
        <f>IF($E96="","",'参数配置'!$D$21)</f>
        <v/>
      </c>
      <c r="M96" s="56">
        <f>IF($E96="","",$E96*'参数配置'!$B$8)</f>
        <v/>
      </c>
      <c r="N96" s="56">
        <f>IF($E96="","",IF($E96&lt;='参数配置'!$B$7,$E96*'参数配置'!$B$6,0))</f>
        <v/>
      </c>
      <c r="O96" s="56">
        <f>IF($E96="","",$E96*$G96)</f>
        <v/>
      </c>
      <c r="P96" s="56">
        <f>IF($E96="","",$E96*'参数配置'!$B$10)</f>
        <v/>
      </c>
      <c r="Q96" s="56">
        <f>IF($E96="","",$E96*'参数配置'!$B$11)</f>
        <v/>
      </c>
      <c r="R96" s="56">
        <f>IF($E96="","",$I96+$F96+$J96+$K96+$L96+$M96+$N96+$O96+$P96+$Q96)</f>
        <v/>
      </c>
      <c r="S96" s="56">
        <f>IF($E96="","",$E96-$R96)</f>
        <v/>
      </c>
      <c r="T96" s="57">
        <f>IF(OR($E96="",$E96=0),"",$S96/$E96)</f>
        <v/>
      </c>
      <c r="U96" s="38">
        <f>IF($E96="","",$S96*'参数配置'!$B$5)</f>
        <v/>
      </c>
      <c r="V96" s="57">
        <f>IF($E96="","",1-$H96-'参数配置'!$D$20-'参数配置'!$B$8-$G96-'参数配置'!$B$10-'参数配置'!$B$11-IF($E96&lt;='参数配置'!$B$7,'参数配置'!$B$6,0))</f>
        <v/>
      </c>
      <c r="W96" s="56">
        <f>IF($E96="","",$I96+$F96+$L96)</f>
        <v/>
      </c>
      <c r="X96" s="56">
        <f>IF($E96="","",IF($V96&gt;0,$W96/$V96,""))</f>
        <v/>
      </c>
      <c r="Y96" s="56">
        <f>IF($E96="","",IF(($V96-'参数配置'!$B$9)&gt;0,$W96/($V96-'参数配置'!$B$9),""))</f>
        <v/>
      </c>
      <c r="Z96" s="37">
        <f>IF($E96="","",IF(OR($C96="禁售",$C96="需资质"),"⛔"&amp;$C96&amp;"·不应进入利润表",IF($V96&lt;=0,"❗贡献率≤0·任何价都亏损",IF($E96&lt;$X96,"⛔低于保本价·亏损",IF($Y96="","⚠️目标不可达·需降本",IF($E96&lt;$Y96,"⚠️低于红线·未达目标利润率","✅达目标利润率"))))))</f>
        <v/>
      </c>
    </row>
    <row r="97">
      <c r="A97" s="52" t="n"/>
      <c r="B97" s="46">
        <f>IFERROR(VLOOKUP($A97,'SKU主表'!$A:$M,2,0),"")</f>
        <v/>
      </c>
      <c r="C97" s="47">
        <f>IFERROR(VLOOKUP($A97,'SKU主表'!$A:$M,9,0),"")</f>
        <v/>
      </c>
      <c r="D97" s="47">
        <f>IFERROR(VLOOKUP($A97,'SKU主表'!$A:$M,5,0),"")</f>
        <v/>
      </c>
      <c r="E97" s="58" t="n"/>
      <c r="F97" s="58" t="n"/>
      <c r="G97" s="59" t="n"/>
      <c r="H97" s="59">
        <f>'参数配置'!$D$22</f>
        <v/>
      </c>
      <c r="I97" s="56">
        <f>IF($D97="","",$D97/'参数配置'!$B$5)</f>
        <v/>
      </c>
      <c r="J97" s="56">
        <f>IF($E97="","",$E97*$H97)</f>
        <v/>
      </c>
      <c r="K97" s="56">
        <f>IF($E97="","",$E97*'参数配置'!$D$20)</f>
        <v/>
      </c>
      <c r="L97" s="56">
        <f>IF($E97="","",'参数配置'!$D$21)</f>
        <v/>
      </c>
      <c r="M97" s="56">
        <f>IF($E97="","",$E97*'参数配置'!$B$8)</f>
        <v/>
      </c>
      <c r="N97" s="56">
        <f>IF($E97="","",IF($E97&lt;='参数配置'!$B$7,$E97*'参数配置'!$B$6,0))</f>
        <v/>
      </c>
      <c r="O97" s="56">
        <f>IF($E97="","",$E97*$G97)</f>
        <v/>
      </c>
      <c r="P97" s="56">
        <f>IF($E97="","",$E97*'参数配置'!$B$10)</f>
        <v/>
      </c>
      <c r="Q97" s="56">
        <f>IF($E97="","",$E97*'参数配置'!$B$11)</f>
        <v/>
      </c>
      <c r="R97" s="56">
        <f>IF($E97="","",$I97+$F97+$J97+$K97+$L97+$M97+$N97+$O97+$P97+$Q97)</f>
        <v/>
      </c>
      <c r="S97" s="56">
        <f>IF($E97="","",$E97-$R97)</f>
        <v/>
      </c>
      <c r="T97" s="57">
        <f>IF(OR($E97="",$E97=0),"",$S97/$E97)</f>
        <v/>
      </c>
      <c r="U97" s="38">
        <f>IF($E97="","",$S97*'参数配置'!$B$5)</f>
        <v/>
      </c>
      <c r="V97" s="57">
        <f>IF($E97="","",1-$H97-'参数配置'!$D$20-'参数配置'!$B$8-$G97-'参数配置'!$B$10-'参数配置'!$B$11-IF($E97&lt;='参数配置'!$B$7,'参数配置'!$B$6,0))</f>
        <v/>
      </c>
      <c r="W97" s="56">
        <f>IF($E97="","",$I97+$F97+$L97)</f>
        <v/>
      </c>
      <c r="X97" s="56">
        <f>IF($E97="","",IF($V97&gt;0,$W97/$V97,""))</f>
        <v/>
      </c>
      <c r="Y97" s="56">
        <f>IF($E97="","",IF(($V97-'参数配置'!$B$9)&gt;0,$W97/($V97-'参数配置'!$B$9),""))</f>
        <v/>
      </c>
      <c r="Z97" s="37">
        <f>IF($E97="","",IF(OR($C97="禁售",$C97="需资质"),"⛔"&amp;$C97&amp;"·不应进入利润表",IF($V97&lt;=0,"❗贡献率≤0·任何价都亏损",IF($E97&lt;$X97,"⛔低于保本价·亏损",IF($Y97="","⚠️目标不可达·需降本",IF($E97&lt;$Y97,"⚠️低于红线·未达目标利润率","✅达目标利润率"))))))</f>
        <v/>
      </c>
    </row>
    <row r="98">
      <c r="A98" s="52" t="n"/>
      <c r="B98" s="46">
        <f>IFERROR(VLOOKUP($A98,'SKU主表'!$A:$M,2,0),"")</f>
        <v/>
      </c>
      <c r="C98" s="47">
        <f>IFERROR(VLOOKUP($A98,'SKU主表'!$A:$M,9,0),"")</f>
        <v/>
      </c>
      <c r="D98" s="47">
        <f>IFERROR(VLOOKUP($A98,'SKU主表'!$A:$M,5,0),"")</f>
        <v/>
      </c>
      <c r="E98" s="58" t="n"/>
      <c r="F98" s="58" t="n"/>
      <c r="G98" s="59" t="n"/>
      <c r="H98" s="59">
        <f>'参数配置'!$D$22</f>
        <v/>
      </c>
      <c r="I98" s="56">
        <f>IF($D98="","",$D98/'参数配置'!$B$5)</f>
        <v/>
      </c>
      <c r="J98" s="56">
        <f>IF($E98="","",$E98*$H98)</f>
        <v/>
      </c>
      <c r="K98" s="56">
        <f>IF($E98="","",$E98*'参数配置'!$D$20)</f>
        <v/>
      </c>
      <c r="L98" s="56">
        <f>IF($E98="","",'参数配置'!$D$21)</f>
        <v/>
      </c>
      <c r="M98" s="56">
        <f>IF($E98="","",$E98*'参数配置'!$B$8)</f>
        <v/>
      </c>
      <c r="N98" s="56">
        <f>IF($E98="","",IF($E98&lt;='参数配置'!$B$7,$E98*'参数配置'!$B$6,0))</f>
        <v/>
      </c>
      <c r="O98" s="56">
        <f>IF($E98="","",$E98*$G98)</f>
        <v/>
      </c>
      <c r="P98" s="56">
        <f>IF($E98="","",$E98*'参数配置'!$B$10)</f>
        <v/>
      </c>
      <c r="Q98" s="56">
        <f>IF($E98="","",$E98*'参数配置'!$B$11)</f>
        <v/>
      </c>
      <c r="R98" s="56">
        <f>IF($E98="","",$I98+$F98+$J98+$K98+$L98+$M98+$N98+$O98+$P98+$Q98)</f>
        <v/>
      </c>
      <c r="S98" s="56">
        <f>IF($E98="","",$E98-$R98)</f>
        <v/>
      </c>
      <c r="T98" s="57">
        <f>IF(OR($E98="",$E98=0),"",$S98/$E98)</f>
        <v/>
      </c>
      <c r="U98" s="38">
        <f>IF($E98="","",$S98*'参数配置'!$B$5)</f>
        <v/>
      </c>
      <c r="V98" s="57">
        <f>IF($E98="","",1-$H98-'参数配置'!$D$20-'参数配置'!$B$8-$G98-'参数配置'!$B$10-'参数配置'!$B$11-IF($E98&lt;='参数配置'!$B$7,'参数配置'!$B$6,0))</f>
        <v/>
      </c>
      <c r="W98" s="56">
        <f>IF($E98="","",$I98+$F98+$L98)</f>
        <v/>
      </c>
      <c r="X98" s="56">
        <f>IF($E98="","",IF($V98&gt;0,$W98/$V98,""))</f>
        <v/>
      </c>
      <c r="Y98" s="56">
        <f>IF($E98="","",IF(($V98-'参数配置'!$B$9)&gt;0,$W98/($V98-'参数配置'!$B$9),""))</f>
        <v/>
      </c>
      <c r="Z98" s="37">
        <f>IF($E98="","",IF(OR($C98="禁售",$C98="需资质"),"⛔"&amp;$C98&amp;"·不应进入利润表",IF($V98&lt;=0,"❗贡献率≤0·任何价都亏损",IF($E98&lt;$X98,"⛔低于保本价·亏损",IF($Y98="","⚠️目标不可达·需降本",IF($E98&lt;$Y98,"⚠️低于红线·未达目标利润率","✅达目标利润率"))))))</f>
        <v/>
      </c>
    </row>
    <row r="99">
      <c r="A99" s="52" t="n"/>
      <c r="B99" s="46">
        <f>IFERROR(VLOOKUP($A99,'SKU主表'!$A:$M,2,0),"")</f>
        <v/>
      </c>
      <c r="C99" s="47">
        <f>IFERROR(VLOOKUP($A99,'SKU主表'!$A:$M,9,0),"")</f>
        <v/>
      </c>
      <c r="D99" s="47">
        <f>IFERROR(VLOOKUP($A99,'SKU主表'!$A:$M,5,0),"")</f>
        <v/>
      </c>
      <c r="E99" s="58" t="n"/>
      <c r="F99" s="58" t="n"/>
      <c r="G99" s="59" t="n"/>
      <c r="H99" s="59">
        <f>'参数配置'!$D$22</f>
        <v/>
      </c>
      <c r="I99" s="56">
        <f>IF($D99="","",$D99/'参数配置'!$B$5)</f>
        <v/>
      </c>
      <c r="J99" s="56">
        <f>IF($E99="","",$E99*$H99)</f>
        <v/>
      </c>
      <c r="K99" s="56">
        <f>IF($E99="","",$E99*'参数配置'!$D$20)</f>
        <v/>
      </c>
      <c r="L99" s="56">
        <f>IF($E99="","",'参数配置'!$D$21)</f>
        <v/>
      </c>
      <c r="M99" s="56">
        <f>IF($E99="","",$E99*'参数配置'!$B$8)</f>
        <v/>
      </c>
      <c r="N99" s="56">
        <f>IF($E99="","",IF($E99&lt;='参数配置'!$B$7,$E99*'参数配置'!$B$6,0))</f>
        <v/>
      </c>
      <c r="O99" s="56">
        <f>IF($E99="","",$E99*$G99)</f>
        <v/>
      </c>
      <c r="P99" s="56">
        <f>IF($E99="","",$E99*'参数配置'!$B$10)</f>
        <v/>
      </c>
      <c r="Q99" s="56">
        <f>IF($E99="","",$E99*'参数配置'!$B$11)</f>
        <v/>
      </c>
      <c r="R99" s="56">
        <f>IF($E99="","",$I99+$F99+$J99+$K99+$L99+$M99+$N99+$O99+$P99+$Q99)</f>
        <v/>
      </c>
      <c r="S99" s="56">
        <f>IF($E99="","",$E99-$R99)</f>
        <v/>
      </c>
      <c r="T99" s="57">
        <f>IF(OR($E99="",$E99=0),"",$S99/$E99)</f>
        <v/>
      </c>
      <c r="U99" s="38">
        <f>IF($E99="","",$S99*'参数配置'!$B$5)</f>
        <v/>
      </c>
      <c r="V99" s="57">
        <f>IF($E99="","",1-$H99-'参数配置'!$D$20-'参数配置'!$B$8-$G99-'参数配置'!$B$10-'参数配置'!$B$11-IF($E99&lt;='参数配置'!$B$7,'参数配置'!$B$6,0))</f>
        <v/>
      </c>
      <c r="W99" s="56">
        <f>IF($E99="","",$I99+$F99+$L99)</f>
        <v/>
      </c>
      <c r="X99" s="56">
        <f>IF($E99="","",IF($V99&gt;0,$W99/$V99,""))</f>
        <v/>
      </c>
      <c r="Y99" s="56">
        <f>IF($E99="","",IF(($V99-'参数配置'!$B$9)&gt;0,$W99/($V99-'参数配置'!$B$9),""))</f>
        <v/>
      </c>
      <c r="Z99" s="37">
        <f>IF($E99="","",IF(OR($C99="禁售",$C99="需资质"),"⛔"&amp;$C99&amp;"·不应进入利润表",IF($V99&lt;=0,"❗贡献率≤0·任何价都亏损",IF($E99&lt;$X99,"⛔低于保本价·亏损",IF($Y99="","⚠️目标不可达·需降本",IF($E99&lt;$Y99,"⚠️低于红线·未达目标利润率","✅达目标利润率"))))))</f>
        <v/>
      </c>
    </row>
    <row r="100">
      <c r="A100" s="52" t="n"/>
      <c r="B100" s="46">
        <f>IFERROR(VLOOKUP($A100,'SKU主表'!$A:$M,2,0),"")</f>
        <v/>
      </c>
      <c r="C100" s="47">
        <f>IFERROR(VLOOKUP($A100,'SKU主表'!$A:$M,9,0),"")</f>
        <v/>
      </c>
      <c r="D100" s="47">
        <f>IFERROR(VLOOKUP($A100,'SKU主表'!$A:$M,5,0),"")</f>
        <v/>
      </c>
      <c r="E100" s="58" t="n"/>
      <c r="F100" s="58" t="n"/>
      <c r="G100" s="59" t="n"/>
      <c r="H100" s="59">
        <f>'参数配置'!$D$22</f>
        <v/>
      </c>
      <c r="I100" s="56">
        <f>IF($D100="","",$D100/'参数配置'!$B$5)</f>
        <v/>
      </c>
      <c r="J100" s="56">
        <f>IF($E100="","",$E100*$H100)</f>
        <v/>
      </c>
      <c r="K100" s="56">
        <f>IF($E100="","",$E100*'参数配置'!$D$20)</f>
        <v/>
      </c>
      <c r="L100" s="56">
        <f>IF($E100="","",'参数配置'!$D$21)</f>
        <v/>
      </c>
      <c r="M100" s="56">
        <f>IF($E100="","",$E100*'参数配置'!$B$8)</f>
        <v/>
      </c>
      <c r="N100" s="56">
        <f>IF($E100="","",IF($E100&lt;='参数配置'!$B$7,$E100*'参数配置'!$B$6,0))</f>
        <v/>
      </c>
      <c r="O100" s="56">
        <f>IF($E100="","",$E100*$G100)</f>
        <v/>
      </c>
      <c r="P100" s="56">
        <f>IF($E100="","",$E100*'参数配置'!$B$10)</f>
        <v/>
      </c>
      <c r="Q100" s="56">
        <f>IF($E100="","",$E100*'参数配置'!$B$11)</f>
        <v/>
      </c>
      <c r="R100" s="56">
        <f>IF($E100="","",$I100+$F100+$J100+$K100+$L100+$M100+$N100+$O100+$P100+$Q100)</f>
        <v/>
      </c>
      <c r="S100" s="56">
        <f>IF($E100="","",$E100-$R100)</f>
        <v/>
      </c>
      <c r="T100" s="57">
        <f>IF(OR($E100="",$E100=0),"",$S100/$E100)</f>
        <v/>
      </c>
      <c r="U100" s="38">
        <f>IF($E100="","",$S100*'参数配置'!$B$5)</f>
        <v/>
      </c>
      <c r="V100" s="57">
        <f>IF($E100="","",1-$H100-'参数配置'!$D$20-'参数配置'!$B$8-$G100-'参数配置'!$B$10-'参数配置'!$B$11-IF($E100&lt;='参数配置'!$B$7,'参数配置'!$B$6,0))</f>
        <v/>
      </c>
      <c r="W100" s="56">
        <f>IF($E100="","",$I100+$F100+$L100)</f>
        <v/>
      </c>
      <c r="X100" s="56">
        <f>IF($E100="","",IF($V100&gt;0,$W100/$V100,""))</f>
        <v/>
      </c>
      <c r="Y100" s="56">
        <f>IF($E100="","",IF(($V100-'参数配置'!$B$9)&gt;0,$W100/($V100-'参数配置'!$B$9),""))</f>
        <v/>
      </c>
      <c r="Z100" s="37">
        <f>IF($E100="","",IF(OR($C100="禁售",$C100="需资质"),"⛔"&amp;$C100&amp;"·不应进入利润表",IF($V100&lt;=0,"❗贡献率≤0·任何价都亏损",IF($E100&lt;$X100,"⛔低于保本价·亏损",IF($Y100="","⚠️目标不可达·需降本",IF($E100&lt;$Y100,"⚠️低于红线·未达目标利润率","✅达目标利润率"))))))</f>
        <v/>
      </c>
    </row>
    <row r="101">
      <c r="A101" s="52" t="n"/>
      <c r="B101" s="46">
        <f>IFERROR(VLOOKUP($A101,'SKU主表'!$A:$M,2,0),"")</f>
        <v/>
      </c>
      <c r="C101" s="47">
        <f>IFERROR(VLOOKUP($A101,'SKU主表'!$A:$M,9,0),"")</f>
        <v/>
      </c>
      <c r="D101" s="47">
        <f>IFERROR(VLOOKUP($A101,'SKU主表'!$A:$M,5,0),"")</f>
        <v/>
      </c>
      <c r="E101" s="58" t="n"/>
      <c r="F101" s="58" t="n"/>
      <c r="G101" s="59" t="n"/>
      <c r="H101" s="59">
        <f>'参数配置'!$D$22</f>
        <v/>
      </c>
      <c r="I101" s="56">
        <f>IF($D101="","",$D101/'参数配置'!$B$5)</f>
        <v/>
      </c>
      <c r="J101" s="56">
        <f>IF($E101="","",$E101*$H101)</f>
        <v/>
      </c>
      <c r="K101" s="56">
        <f>IF($E101="","",$E101*'参数配置'!$D$20)</f>
        <v/>
      </c>
      <c r="L101" s="56">
        <f>IF($E101="","",'参数配置'!$D$21)</f>
        <v/>
      </c>
      <c r="M101" s="56">
        <f>IF($E101="","",$E101*'参数配置'!$B$8)</f>
        <v/>
      </c>
      <c r="N101" s="56">
        <f>IF($E101="","",IF($E101&lt;='参数配置'!$B$7,$E101*'参数配置'!$B$6,0))</f>
        <v/>
      </c>
      <c r="O101" s="56">
        <f>IF($E101="","",$E101*$G101)</f>
        <v/>
      </c>
      <c r="P101" s="56">
        <f>IF($E101="","",$E101*'参数配置'!$B$10)</f>
        <v/>
      </c>
      <c r="Q101" s="56">
        <f>IF($E101="","",$E101*'参数配置'!$B$11)</f>
        <v/>
      </c>
      <c r="R101" s="56">
        <f>IF($E101="","",$I101+$F101+$J101+$K101+$L101+$M101+$N101+$O101+$P101+$Q101)</f>
        <v/>
      </c>
      <c r="S101" s="56">
        <f>IF($E101="","",$E101-$R101)</f>
        <v/>
      </c>
      <c r="T101" s="57">
        <f>IF(OR($E101="",$E101=0),"",$S101/$E101)</f>
        <v/>
      </c>
      <c r="U101" s="38">
        <f>IF($E101="","",$S101*'参数配置'!$B$5)</f>
        <v/>
      </c>
      <c r="V101" s="57">
        <f>IF($E101="","",1-$H101-'参数配置'!$D$20-'参数配置'!$B$8-$G101-'参数配置'!$B$10-'参数配置'!$B$11-IF($E101&lt;='参数配置'!$B$7,'参数配置'!$B$6,0))</f>
        <v/>
      </c>
      <c r="W101" s="56">
        <f>IF($E101="","",$I101+$F101+$L101)</f>
        <v/>
      </c>
      <c r="X101" s="56">
        <f>IF($E101="","",IF($V101&gt;0,$W101/$V101,""))</f>
        <v/>
      </c>
      <c r="Y101" s="56">
        <f>IF($E101="","",IF(($V101-'参数配置'!$B$9)&gt;0,$W101/($V101-'参数配置'!$B$9),""))</f>
        <v/>
      </c>
      <c r="Z101" s="37">
        <f>IF($E101="","",IF(OR($C101="禁售",$C101="需资质"),"⛔"&amp;$C101&amp;"·不应进入利润表",IF($V101&lt;=0,"❗贡献率≤0·任何价都亏损",IF($E101&lt;$X101,"⛔低于保本价·亏损",IF($Y101="","⚠️目标不可达·需降本",IF($E101&lt;$Y101,"⚠️低于红线·未达目标利润率","✅达目标利润率"))))))</f>
        <v/>
      </c>
    </row>
    <row r="102">
      <c r="A102" s="52" t="n"/>
      <c r="B102" s="46">
        <f>IFERROR(VLOOKUP($A102,'SKU主表'!$A:$M,2,0),"")</f>
        <v/>
      </c>
      <c r="C102" s="47">
        <f>IFERROR(VLOOKUP($A102,'SKU主表'!$A:$M,9,0),"")</f>
        <v/>
      </c>
      <c r="D102" s="47">
        <f>IFERROR(VLOOKUP($A102,'SKU主表'!$A:$M,5,0),"")</f>
        <v/>
      </c>
      <c r="E102" s="58" t="n"/>
      <c r="F102" s="58" t="n"/>
      <c r="G102" s="59" t="n"/>
      <c r="H102" s="59">
        <f>'参数配置'!$D$22</f>
        <v/>
      </c>
      <c r="I102" s="56">
        <f>IF($D102="","",$D102/'参数配置'!$B$5)</f>
        <v/>
      </c>
      <c r="J102" s="56">
        <f>IF($E102="","",$E102*$H102)</f>
        <v/>
      </c>
      <c r="K102" s="56">
        <f>IF($E102="","",$E102*'参数配置'!$D$20)</f>
        <v/>
      </c>
      <c r="L102" s="56">
        <f>IF($E102="","",'参数配置'!$D$21)</f>
        <v/>
      </c>
      <c r="M102" s="56">
        <f>IF($E102="","",$E102*'参数配置'!$B$8)</f>
        <v/>
      </c>
      <c r="N102" s="56">
        <f>IF($E102="","",IF($E102&lt;='参数配置'!$B$7,$E102*'参数配置'!$B$6,0))</f>
        <v/>
      </c>
      <c r="O102" s="56">
        <f>IF($E102="","",$E102*$G102)</f>
        <v/>
      </c>
      <c r="P102" s="56">
        <f>IF($E102="","",$E102*'参数配置'!$B$10)</f>
        <v/>
      </c>
      <c r="Q102" s="56">
        <f>IF($E102="","",$E102*'参数配置'!$B$11)</f>
        <v/>
      </c>
      <c r="R102" s="56">
        <f>IF($E102="","",$I102+$F102+$J102+$K102+$L102+$M102+$N102+$O102+$P102+$Q102)</f>
        <v/>
      </c>
      <c r="S102" s="56">
        <f>IF($E102="","",$E102-$R102)</f>
        <v/>
      </c>
      <c r="T102" s="57">
        <f>IF(OR($E102="",$E102=0),"",$S102/$E102)</f>
        <v/>
      </c>
      <c r="U102" s="38">
        <f>IF($E102="","",$S102*'参数配置'!$B$5)</f>
        <v/>
      </c>
      <c r="V102" s="57">
        <f>IF($E102="","",1-$H102-'参数配置'!$D$20-'参数配置'!$B$8-$G102-'参数配置'!$B$10-'参数配置'!$B$11-IF($E102&lt;='参数配置'!$B$7,'参数配置'!$B$6,0))</f>
        <v/>
      </c>
      <c r="W102" s="56">
        <f>IF($E102="","",$I102+$F102+$L102)</f>
        <v/>
      </c>
      <c r="X102" s="56">
        <f>IF($E102="","",IF($V102&gt;0,$W102/$V102,""))</f>
        <v/>
      </c>
      <c r="Y102" s="56">
        <f>IF($E102="","",IF(($V102-'参数配置'!$B$9)&gt;0,$W102/($V102-'参数配置'!$B$9),""))</f>
        <v/>
      </c>
      <c r="Z102" s="37">
        <f>IF($E102="","",IF(OR($C102="禁售",$C102="需资质"),"⛔"&amp;$C102&amp;"·不应进入利润表",IF($V102&lt;=0,"❗贡献率≤0·任何价都亏损",IF($E102&lt;$X102,"⛔低于保本价·亏损",IF($Y102="","⚠️目标不可达·需降本",IF($E102&lt;$Y102,"⚠️低于红线·未达目标利润率","✅达目标利润率"))))))</f>
        <v/>
      </c>
    </row>
    <row r="103">
      <c r="A103" s="52" t="n"/>
      <c r="B103" s="46">
        <f>IFERROR(VLOOKUP($A103,'SKU主表'!$A:$M,2,0),"")</f>
        <v/>
      </c>
      <c r="C103" s="47">
        <f>IFERROR(VLOOKUP($A103,'SKU主表'!$A:$M,9,0),"")</f>
        <v/>
      </c>
      <c r="D103" s="47">
        <f>IFERROR(VLOOKUP($A103,'SKU主表'!$A:$M,5,0),"")</f>
        <v/>
      </c>
      <c r="E103" s="58" t="n"/>
      <c r="F103" s="58" t="n"/>
      <c r="G103" s="59" t="n"/>
      <c r="H103" s="59">
        <f>'参数配置'!$D$22</f>
        <v/>
      </c>
      <c r="I103" s="56">
        <f>IF($D103="","",$D103/'参数配置'!$B$5)</f>
        <v/>
      </c>
      <c r="J103" s="56">
        <f>IF($E103="","",$E103*$H103)</f>
        <v/>
      </c>
      <c r="K103" s="56">
        <f>IF($E103="","",$E103*'参数配置'!$D$20)</f>
        <v/>
      </c>
      <c r="L103" s="56">
        <f>IF($E103="","",'参数配置'!$D$21)</f>
        <v/>
      </c>
      <c r="M103" s="56">
        <f>IF($E103="","",$E103*'参数配置'!$B$8)</f>
        <v/>
      </c>
      <c r="N103" s="56">
        <f>IF($E103="","",IF($E103&lt;='参数配置'!$B$7,$E103*'参数配置'!$B$6,0))</f>
        <v/>
      </c>
      <c r="O103" s="56">
        <f>IF($E103="","",$E103*$G103)</f>
        <v/>
      </c>
      <c r="P103" s="56">
        <f>IF($E103="","",$E103*'参数配置'!$B$10)</f>
        <v/>
      </c>
      <c r="Q103" s="56">
        <f>IF($E103="","",$E103*'参数配置'!$B$11)</f>
        <v/>
      </c>
      <c r="R103" s="56">
        <f>IF($E103="","",$I103+$F103+$J103+$K103+$L103+$M103+$N103+$O103+$P103+$Q103)</f>
        <v/>
      </c>
      <c r="S103" s="56">
        <f>IF($E103="","",$E103-$R103)</f>
        <v/>
      </c>
      <c r="T103" s="57">
        <f>IF(OR($E103="",$E103=0),"",$S103/$E103)</f>
        <v/>
      </c>
      <c r="U103" s="38">
        <f>IF($E103="","",$S103*'参数配置'!$B$5)</f>
        <v/>
      </c>
      <c r="V103" s="57">
        <f>IF($E103="","",1-$H103-'参数配置'!$D$20-'参数配置'!$B$8-$G103-'参数配置'!$B$10-'参数配置'!$B$11-IF($E103&lt;='参数配置'!$B$7,'参数配置'!$B$6,0))</f>
        <v/>
      </c>
      <c r="W103" s="56">
        <f>IF($E103="","",$I103+$F103+$L103)</f>
        <v/>
      </c>
      <c r="X103" s="56">
        <f>IF($E103="","",IF($V103&gt;0,$W103/$V103,""))</f>
        <v/>
      </c>
      <c r="Y103" s="56">
        <f>IF($E103="","",IF(($V103-'参数配置'!$B$9)&gt;0,$W103/($V103-'参数配置'!$B$9),""))</f>
        <v/>
      </c>
      <c r="Z103" s="37">
        <f>IF($E103="","",IF(OR($C103="禁售",$C103="需资质"),"⛔"&amp;$C103&amp;"·不应进入利润表",IF($V103&lt;=0,"❗贡献率≤0·任何价都亏损",IF($E103&lt;$X103,"⛔低于保本价·亏损",IF($Y103="","⚠️目标不可达·需降本",IF($E103&lt;$Y103,"⚠️低于红线·未达目标利润率","✅达目标利润率"))))))</f>
        <v/>
      </c>
    </row>
    <row r="104">
      <c r="A104" s="52" t="n"/>
      <c r="B104" s="46">
        <f>IFERROR(VLOOKUP($A104,'SKU主表'!$A:$M,2,0),"")</f>
        <v/>
      </c>
      <c r="C104" s="47">
        <f>IFERROR(VLOOKUP($A104,'SKU主表'!$A:$M,9,0),"")</f>
        <v/>
      </c>
      <c r="D104" s="47">
        <f>IFERROR(VLOOKUP($A104,'SKU主表'!$A:$M,5,0),"")</f>
        <v/>
      </c>
      <c r="E104" s="58" t="n"/>
      <c r="F104" s="58" t="n"/>
      <c r="G104" s="59" t="n"/>
      <c r="H104" s="59">
        <f>'参数配置'!$D$22</f>
        <v/>
      </c>
      <c r="I104" s="56">
        <f>IF($D104="","",$D104/'参数配置'!$B$5)</f>
        <v/>
      </c>
      <c r="J104" s="56">
        <f>IF($E104="","",$E104*$H104)</f>
        <v/>
      </c>
      <c r="K104" s="56">
        <f>IF($E104="","",$E104*'参数配置'!$D$20)</f>
        <v/>
      </c>
      <c r="L104" s="56">
        <f>IF($E104="","",'参数配置'!$D$21)</f>
        <v/>
      </c>
      <c r="M104" s="56">
        <f>IF($E104="","",$E104*'参数配置'!$B$8)</f>
        <v/>
      </c>
      <c r="N104" s="56">
        <f>IF($E104="","",IF($E104&lt;='参数配置'!$B$7,$E104*'参数配置'!$B$6,0))</f>
        <v/>
      </c>
      <c r="O104" s="56">
        <f>IF($E104="","",$E104*$G104)</f>
        <v/>
      </c>
      <c r="P104" s="56">
        <f>IF($E104="","",$E104*'参数配置'!$B$10)</f>
        <v/>
      </c>
      <c r="Q104" s="56">
        <f>IF($E104="","",$E104*'参数配置'!$B$11)</f>
        <v/>
      </c>
      <c r="R104" s="56">
        <f>IF($E104="","",$I104+$F104+$J104+$K104+$L104+$M104+$N104+$O104+$P104+$Q104)</f>
        <v/>
      </c>
      <c r="S104" s="56">
        <f>IF($E104="","",$E104-$R104)</f>
        <v/>
      </c>
      <c r="T104" s="57">
        <f>IF(OR($E104="",$E104=0),"",$S104/$E104)</f>
        <v/>
      </c>
      <c r="U104" s="38">
        <f>IF($E104="","",$S104*'参数配置'!$B$5)</f>
        <v/>
      </c>
      <c r="V104" s="57">
        <f>IF($E104="","",1-$H104-'参数配置'!$D$20-'参数配置'!$B$8-$G104-'参数配置'!$B$10-'参数配置'!$B$11-IF($E104&lt;='参数配置'!$B$7,'参数配置'!$B$6,0))</f>
        <v/>
      </c>
      <c r="W104" s="56">
        <f>IF($E104="","",$I104+$F104+$L104)</f>
        <v/>
      </c>
      <c r="X104" s="56">
        <f>IF($E104="","",IF($V104&gt;0,$W104/$V104,""))</f>
        <v/>
      </c>
      <c r="Y104" s="56">
        <f>IF($E104="","",IF(($V104-'参数配置'!$B$9)&gt;0,$W104/($V104-'参数配置'!$B$9),""))</f>
        <v/>
      </c>
      <c r="Z104" s="37">
        <f>IF($E104="","",IF(OR($C104="禁售",$C104="需资质"),"⛔"&amp;$C104&amp;"·不应进入利润表",IF($V104&lt;=0,"❗贡献率≤0·任何价都亏损",IF($E104&lt;$X104,"⛔低于保本价·亏损",IF($Y104="","⚠️目标不可达·需降本",IF($E104&lt;$Y104,"⚠️低于红线·未达目标利润率","✅达目标利润率"))))))</f>
        <v/>
      </c>
    </row>
    <row r="105">
      <c r="A105" s="52" t="n"/>
      <c r="B105" s="46">
        <f>IFERROR(VLOOKUP($A105,'SKU主表'!$A:$M,2,0),"")</f>
        <v/>
      </c>
      <c r="C105" s="47">
        <f>IFERROR(VLOOKUP($A105,'SKU主表'!$A:$M,9,0),"")</f>
        <v/>
      </c>
      <c r="D105" s="47">
        <f>IFERROR(VLOOKUP($A105,'SKU主表'!$A:$M,5,0),"")</f>
        <v/>
      </c>
      <c r="E105" s="58" t="n"/>
      <c r="F105" s="58" t="n"/>
      <c r="G105" s="59" t="n"/>
      <c r="H105" s="59">
        <f>'参数配置'!$D$22</f>
        <v/>
      </c>
      <c r="I105" s="56">
        <f>IF($D105="","",$D105/'参数配置'!$B$5)</f>
        <v/>
      </c>
      <c r="J105" s="56">
        <f>IF($E105="","",$E105*$H105)</f>
        <v/>
      </c>
      <c r="K105" s="56">
        <f>IF($E105="","",$E105*'参数配置'!$D$20)</f>
        <v/>
      </c>
      <c r="L105" s="56">
        <f>IF($E105="","",'参数配置'!$D$21)</f>
        <v/>
      </c>
      <c r="M105" s="56">
        <f>IF($E105="","",$E105*'参数配置'!$B$8)</f>
        <v/>
      </c>
      <c r="N105" s="56">
        <f>IF($E105="","",IF($E105&lt;='参数配置'!$B$7,$E105*'参数配置'!$B$6,0))</f>
        <v/>
      </c>
      <c r="O105" s="56">
        <f>IF($E105="","",$E105*$G105)</f>
        <v/>
      </c>
      <c r="P105" s="56">
        <f>IF($E105="","",$E105*'参数配置'!$B$10)</f>
        <v/>
      </c>
      <c r="Q105" s="56">
        <f>IF($E105="","",$E105*'参数配置'!$B$11)</f>
        <v/>
      </c>
      <c r="R105" s="56">
        <f>IF($E105="","",$I105+$F105+$J105+$K105+$L105+$M105+$N105+$O105+$P105+$Q105)</f>
        <v/>
      </c>
      <c r="S105" s="56">
        <f>IF($E105="","",$E105-$R105)</f>
        <v/>
      </c>
      <c r="T105" s="57">
        <f>IF(OR($E105="",$E105=0),"",$S105/$E105)</f>
        <v/>
      </c>
      <c r="U105" s="38">
        <f>IF($E105="","",$S105*'参数配置'!$B$5)</f>
        <v/>
      </c>
      <c r="V105" s="57">
        <f>IF($E105="","",1-$H105-'参数配置'!$D$20-'参数配置'!$B$8-$G105-'参数配置'!$B$10-'参数配置'!$B$11-IF($E105&lt;='参数配置'!$B$7,'参数配置'!$B$6,0))</f>
        <v/>
      </c>
      <c r="W105" s="56">
        <f>IF($E105="","",$I105+$F105+$L105)</f>
        <v/>
      </c>
      <c r="X105" s="56">
        <f>IF($E105="","",IF($V105&gt;0,$W105/$V105,""))</f>
        <v/>
      </c>
      <c r="Y105" s="56">
        <f>IF($E105="","",IF(($V105-'参数配置'!$B$9)&gt;0,$W105/($V105-'参数配置'!$B$9),""))</f>
        <v/>
      </c>
      <c r="Z105" s="37">
        <f>IF($E105="","",IF(OR($C105="禁售",$C105="需资质"),"⛔"&amp;$C105&amp;"·不应进入利润表",IF($V105&lt;=0,"❗贡献率≤0·任何价都亏损",IF($E105&lt;$X105,"⛔低于保本价·亏损",IF($Y105="","⚠️目标不可达·需降本",IF($E105&lt;$Y105,"⚠️低于红线·未达目标利润率","✅达目标利润率"))))))</f>
        <v/>
      </c>
    </row>
    <row r="106">
      <c r="A106" s="52" t="n"/>
      <c r="B106" s="46">
        <f>IFERROR(VLOOKUP($A106,'SKU主表'!$A:$M,2,0),"")</f>
        <v/>
      </c>
      <c r="C106" s="47">
        <f>IFERROR(VLOOKUP($A106,'SKU主表'!$A:$M,9,0),"")</f>
        <v/>
      </c>
      <c r="D106" s="47">
        <f>IFERROR(VLOOKUP($A106,'SKU主表'!$A:$M,5,0),"")</f>
        <v/>
      </c>
      <c r="E106" s="58" t="n"/>
      <c r="F106" s="58" t="n"/>
      <c r="G106" s="59" t="n"/>
      <c r="H106" s="59">
        <f>'参数配置'!$D$22</f>
        <v/>
      </c>
      <c r="I106" s="56">
        <f>IF($D106="","",$D106/'参数配置'!$B$5)</f>
        <v/>
      </c>
      <c r="J106" s="56">
        <f>IF($E106="","",$E106*$H106)</f>
        <v/>
      </c>
      <c r="K106" s="56">
        <f>IF($E106="","",$E106*'参数配置'!$D$20)</f>
        <v/>
      </c>
      <c r="L106" s="56">
        <f>IF($E106="","",'参数配置'!$D$21)</f>
        <v/>
      </c>
      <c r="M106" s="56">
        <f>IF($E106="","",$E106*'参数配置'!$B$8)</f>
        <v/>
      </c>
      <c r="N106" s="56">
        <f>IF($E106="","",IF($E106&lt;='参数配置'!$B$7,$E106*'参数配置'!$B$6,0))</f>
        <v/>
      </c>
      <c r="O106" s="56">
        <f>IF($E106="","",$E106*$G106)</f>
        <v/>
      </c>
      <c r="P106" s="56">
        <f>IF($E106="","",$E106*'参数配置'!$B$10)</f>
        <v/>
      </c>
      <c r="Q106" s="56">
        <f>IF($E106="","",$E106*'参数配置'!$B$11)</f>
        <v/>
      </c>
      <c r="R106" s="56">
        <f>IF($E106="","",$I106+$F106+$J106+$K106+$L106+$M106+$N106+$O106+$P106+$Q106)</f>
        <v/>
      </c>
      <c r="S106" s="56">
        <f>IF($E106="","",$E106-$R106)</f>
        <v/>
      </c>
      <c r="T106" s="57">
        <f>IF(OR($E106="",$E106=0),"",$S106/$E106)</f>
        <v/>
      </c>
      <c r="U106" s="38">
        <f>IF($E106="","",$S106*'参数配置'!$B$5)</f>
        <v/>
      </c>
      <c r="V106" s="57">
        <f>IF($E106="","",1-$H106-'参数配置'!$D$20-'参数配置'!$B$8-$G106-'参数配置'!$B$10-'参数配置'!$B$11-IF($E106&lt;='参数配置'!$B$7,'参数配置'!$B$6,0))</f>
        <v/>
      </c>
      <c r="W106" s="56">
        <f>IF($E106="","",$I106+$F106+$L106)</f>
        <v/>
      </c>
      <c r="X106" s="56">
        <f>IF($E106="","",IF($V106&gt;0,$W106/$V106,""))</f>
        <v/>
      </c>
      <c r="Y106" s="56">
        <f>IF($E106="","",IF(($V106-'参数配置'!$B$9)&gt;0,$W106/($V106-'参数配置'!$B$9),""))</f>
        <v/>
      </c>
      <c r="Z106" s="37">
        <f>IF($E106="","",IF(OR($C106="禁售",$C106="需资质"),"⛔"&amp;$C106&amp;"·不应进入利润表",IF($V106&lt;=0,"❗贡献率≤0·任何价都亏损",IF($E106&lt;$X106,"⛔低于保本价·亏损",IF($Y106="","⚠️目标不可达·需降本",IF($E106&lt;$Y106,"⚠️低于红线·未达目标利润率","✅达目标利润率"))))))</f>
        <v/>
      </c>
    </row>
    <row r="107">
      <c r="A107" s="52" t="n"/>
      <c r="B107" s="46">
        <f>IFERROR(VLOOKUP($A107,'SKU主表'!$A:$M,2,0),"")</f>
        <v/>
      </c>
      <c r="C107" s="47">
        <f>IFERROR(VLOOKUP($A107,'SKU主表'!$A:$M,9,0),"")</f>
        <v/>
      </c>
      <c r="D107" s="47">
        <f>IFERROR(VLOOKUP($A107,'SKU主表'!$A:$M,5,0),"")</f>
        <v/>
      </c>
      <c r="E107" s="58" t="n"/>
      <c r="F107" s="58" t="n"/>
      <c r="G107" s="59" t="n"/>
      <c r="H107" s="59">
        <f>'参数配置'!$D$22</f>
        <v/>
      </c>
      <c r="I107" s="56">
        <f>IF($D107="","",$D107/'参数配置'!$B$5)</f>
        <v/>
      </c>
      <c r="J107" s="56">
        <f>IF($E107="","",$E107*$H107)</f>
        <v/>
      </c>
      <c r="K107" s="56">
        <f>IF($E107="","",$E107*'参数配置'!$D$20)</f>
        <v/>
      </c>
      <c r="L107" s="56">
        <f>IF($E107="","",'参数配置'!$D$21)</f>
        <v/>
      </c>
      <c r="M107" s="56">
        <f>IF($E107="","",$E107*'参数配置'!$B$8)</f>
        <v/>
      </c>
      <c r="N107" s="56">
        <f>IF($E107="","",IF($E107&lt;='参数配置'!$B$7,$E107*'参数配置'!$B$6,0))</f>
        <v/>
      </c>
      <c r="O107" s="56">
        <f>IF($E107="","",$E107*$G107)</f>
        <v/>
      </c>
      <c r="P107" s="56">
        <f>IF($E107="","",$E107*'参数配置'!$B$10)</f>
        <v/>
      </c>
      <c r="Q107" s="56">
        <f>IF($E107="","",$E107*'参数配置'!$B$11)</f>
        <v/>
      </c>
      <c r="R107" s="56">
        <f>IF($E107="","",$I107+$F107+$J107+$K107+$L107+$M107+$N107+$O107+$P107+$Q107)</f>
        <v/>
      </c>
      <c r="S107" s="56">
        <f>IF($E107="","",$E107-$R107)</f>
        <v/>
      </c>
      <c r="T107" s="57">
        <f>IF(OR($E107="",$E107=0),"",$S107/$E107)</f>
        <v/>
      </c>
      <c r="U107" s="38">
        <f>IF($E107="","",$S107*'参数配置'!$B$5)</f>
        <v/>
      </c>
      <c r="V107" s="57">
        <f>IF($E107="","",1-$H107-'参数配置'!$D$20-'参数配置'!$B$8-$G107-'参数配置'!$B$10-'参数配置'!$B$11-IF($E107&lt;='参数配置'!$B$7,'参数配置'!$B$6,0))</f>
        <v/>
      </c>
      <c r="W107" s="56">
        <f>IF($E107="","",$I107+$F107+$L107)</f>
        <v/>
      </c>
      <c r="X107" s="56">
        <f>IF($E107="","",IF($V107&gt;0,$W107/$V107,""))</f>
        <v/>
      </c>
      <c r="Y107" s="56">
        <f>IF($E107="","",IF(($V107-'参数配置'!$B$9)&gt;0,$W107/($V107-'参数配置'!$B$9),""))</f>
        <v/>
      </c>
      <c r="Z107" s="37">
        <f>IF($E107="","",IF(OR($C107="禁售",$C107="需资质"),"⛔"&amp;$C107&amp;"·不应进入利润表",IF($V107&lt;=0,"❗贡献率≤0·任何价都亏损",IF($E107&lt;$X107,"⛔低于保本价·亏损",IF($Y107="","⚠️目标不可达·需降本",IF($E107&lt;$Y107,"⚠️低于红线·未达目标利润率","✅达目标利润率"))))))</f>
        <v/>
      </c>
    </row>
    <row r="108">
      <c r="A108" s="52" t="n"/>
      <c r="B108" s="46">
        <f>IFERROR(VLOOKUP($A108,'SKU主表'!$A:$M,2,0),"")</f>
        <v/>
      </c>
      <c r="C108" s="47">
        <f>IFERROR(VLOOKUP($A108,'SKU主表'!$A:$M,9,0),"")</f>
        <v/>
      </c>
      <c r="D108" s="47">
        <f>IFERROR(VLOOKUP($A108,'SKU主表'!$A:$M,5,0),"")</f>
        <v/>
      </c>
      <c r="E108" s="58" t="n"/>
      <c r="F108" s="58" t="n"/>
      <c r="G108" s="59" t="n"/>
      <c r="H108" s="59">
        <f>'参数配置'!$D$22</f>
        <v/>
      </c>
      <c r="I108" s="56">
        <f>IF($D108="","",$D108/'参数配置'!$B$5)</f>
        <v/>
      </c>
      <c r="J108" s="56">
        <f>IF($E108="","",$E108*$H108)</f>
        <v/>
      </c>
      <c r="K108" s="56">
        <f>IF($E108="","",$E108*'参数配置'!$D$20)</f>
        <v/>
      </c>
      <c r="L108" s="56">
        <f>IF($E108="","",'参数配置'!$D$21)</f>
        <v/>
      </c>
      <c r="M108" s="56">
        <f>IF($E108="","",$E108*'参数配置'!$B$8)</f>
        <v/>
      </c>
      <c r="N108" s="56">
        <f>IF($E108="","",IF($E108&lt;='参数配置'!$B$7,$E108*'参数配置'!$B$6,0))</f>
        <v/>
      </c>
      <c r="O108" s="56">
        <f>IF($E108="","",$E108*$G108)</f>
        <v/>
      </c>
      <c r="P108" s="56">
        <f>IF($E108="","",$E108*'参数配置'!$B$10)</f>
        <v/>
      </c>
      <c r="Q108" s="56">
        <f>IF($E108="","",$E108*'参数配置'!$B$11)</f>
        <v/>
      </c>
      <c r="R108" s="56">
        <f>IF($E108="","",$I108+$F108+$J108+$K108+$L108+$M108+$N108+$O108+$P108+$Q108)</f>
        <v/>
      </c>
      <c r="S108" s="56">
        <f>IF($E108="","",$E108-$R108)</f>
        <v/>
      </c>
      <c r="T108" s="57">
        <f>IF(OR($E108="",$E108=0),"",$S108/$E108)</f>
        <v/>
      </c>
      <c r="U108" s="38">
        <f>IF($E108="","",$S108*'参数配置'!$B$5)</f>
        <v/>
      </c>
      <c r="V108" s="57">
        <f>IF($E108="","",1-$H108-'参数配置'!$D$20-'参数配置'!$B$8-$G108-'参数配置'!$B$10-'参数配置'!$B$11-IF($E108&lt;='参数配置'!$B$7,'参数配置'!$B$6,0))</f>
        <v/>
      </c>
      <c r="W108" s="56">
        <f>IF($E108="","",$I108+$F108+$L108)</f>
        <v/>
      </c>
      <c r="X108" s="56">
        <f>IF($E108="","",IF($V108&gt;0,$W108/$V108,""))</f>
        <v/>
      </c>
      <c r="Y108" s="56">
        <f>IF($E108="","",IF(($V108-'参数配置'!$B$9)&gt;0,$W108/($V108-'参数配置'!$B$9),""))</f>
        <v/>
      </c>
      <c r="Z108" s="37">
        <f>IF($E108="","",IF(OR($C108="禁售",$C108="需资质"),"⛔"&amp;$C108&amp;"·不应进入利润表",IF($V108&lt;=0,"❗贡献率≤0·任何价都亏损",IF($E108&lt;$X108,"⛔低于保本价·亏损",IF($Y108="","⚠️目标不可达·需降本",IF($E108&lt;$Y108,"⚠️低于红线·未达目标利润率","✅达目标利润率"))))))</f>
        <v/>
      </c>
    </row>
    <row r="109">
      <c r="A109" s="52" t="n"/>
      <c r="B109" s="46">
        <f>IFERROR(VLOOKUP($A109,'SKU主表'!$A:$M,2,0),"")</f>
        <v/>
      </c>
      <c r="C109" s="47">
        <f>IFERROR(VLOOKUP($A109,'SKU主表'!$A:$M,9,0),"")</f>
        <v/>
      </c>
      <c r="D109" s="47">
        <f>IFERROR(VLOOKUP($A109,'SKU主表'!$A:$M,5,0),"")</f>
        <v/>
      </c>
      <c r="E109" s="58" t="n"/>
      <c r="F109" s="58" t="n"/>
      <c r="G109" s="59" t="n"/>
      <c r="H109" s="59">
        <f>'参数配置'!$D$22</f>
        <v/>
      </c>
      <c r="I109" s="56">
        <f>IF($D109="","",$D109/'参数配置'!$B$5)</f>
        <v/>
      </c>
      <c r="J109" s="56">
        <f>IF($E109="","",$E109*$H109)</f>
        <v/>
      </c>
      <c r="K109" s="56">
        <f>IF($E109="","",$E109*'参数配置'!$D$20)</f>
        <v/>
      </c>
      <c r="L109" s="56">
        <f>IF($E109="","",'参数配置'!$D$21)</f>
        <v/>
      </c>
      <c r="M109" s="56">
        <f>IF($E109="","",$E109*'参数配置'!$B$8)</f>
        <v/>
      </c>
      <c r="N109" s="56">
        <f>IF($E109="","",IF($E109&lt;='参数配置'!$B$7,$E109*'参数配置'!$B$6,0))</f>
        <v/>
      </c>
      <c r="O109" s="56">
        <f>IF($E109="","",$E109*$G109)</f>
        <v/>
      </c>
      <c r="P109" s="56">
        <f>IF($E109="","",$E109*'参数配置'!$B$10)</f>
        <v/>
      </c>
      <c r="Q109" s="56">
        <f>IF($E109="","",$E109*'参数配置'!$B$11)</f>
        <v/>
      </c>
      <c r="R109" s="56">
        <f>IF($E109="","",$I109+$F109+$J109+$K109+$L109+$M109+$N109+$O109+$P109+$Q109)</f>
        <v/>
      </c>
      <c r="S109" s="56">
        <f>IF($E109="","",$E109-$R109)</f>
        <v/>
      </c>
      <c r="T109" s="57">
        <f>IF(OR($E109="",$E109=0),"",$S109/$E109)</f>
        <v/>
      </c>
      <c r="U109" s="38">
        <f>IF($E109="","",$S109*'参数配置'!$B$5)</f>
        <v/>
      </c>
      <c r="V109" s="57">
        <f>IF($E109="","",1-$H109-'参数配置'!$D$20-'参数配置'!$B$8-$G109-'参数配置'!$B$10-'参数配置'!$B$11-IF($E109&lt;='参数配置'!$B$7,'参数配置'!$B$6,0))</f>
        <v/>
      </c>
      <c r="W109" s="56">
        <f>IF($E109="","",$I109+$F109+$L109)</f>
        <v/>
      </c>
      <c r="X109" s="56">
        <f>IF($E109="","",IF($V109&gt;0,$W109/$V109,""))</f>
        <v/>
      </c>
      <c r="Y109" s="56">
        <f>IF($E109="","",IF(($V109-'参数配置'!$B$9)&gt;0,$W109/($V109-'参数配置'!$B$9),""))</f>
        <v/>
      </c>
      <c r="Z109" s="37">
        <f>IF($E109="","",IF(OR($C109="禁售",$C109="需资质"),"⛔"&amp;$C109&amp;"·不应进入利润表",IF($V109&lt;=0,"❗贡献率≤0·任何价都亏损",IF($E109&lt;$X109,"⛔低于保本价·亏损",IF($Y109="","⚠️目标不可达·需降本",IF($E109&lt;$Y109,"⚠️低于红线·未达目标利润率","✅达目标利润率"))))))</f>
        <v/>
      </c>
    </row>
    <row r="110">
      <c r="A110" s="52" t="n"/>
      <c r="B110" s="46">
        <f>IFERROR(VLOOKUP($A110,'SKU主表'!$A:$M,2,0),"")</f>
        <v/>
      </c>
      <c r="C110" s="47">
        <f>IFERROR(VLOOKUP($A110,'SKU主表'!$A:$M,9,0),"")</f>
        <v/>
      </c>
      <c r="D110" s="47">
        <f>IFERROR(VLOOKUP($A110,'SKU主表'!$A:$M,5,0),"")</f>
        <v/>
      </c>
      <c r="E110" s="58" t="n"/>
      <c r="F110" s="58" t="n"/>
      <c r="G110" s="59" t="n"/>
      <c r="H110" s="59">
        <f>'参数配置'!$D$22</f>
        <v/>
      </c>
      <c r="I110" s="56">
        <f>IF($D110="","",$D110/'参数配置'!$B$5)</f>
        <v/>
      </c>
      <c r="J110" s="56">
        <f>IF($E110="","",$E110*$H110)</f>
        <v/>
      </c>
      <c r="K110" s="56">
        <f>IF($E110="","",$E110*'参数配置'!$D$20)</f>
        <v/>
      </c>
      <c r="L110" s="56">
        <f>IF($E110="","",'参数配置'!$D$21)</f>
        <v/>
      </c>
      <c r="M110" s="56">
        <f>IF($E110="","",$E110*'参数配置'!$B$8)</f>
        <v/>
      </c>
      <c r="N110" s="56">
        <f>IF($E110="","",IF($E110&lt;='参数配置'!$B$7,$E110*'参数配置'!$B$6,0))</f>
        <v/>
      </c>
      <c r="O110" s="56">
        <f>IF($E110="","",$E110*$G110)</f>
        <v/>
      </c>
      <c r="P110" s="56">
        <f>IF($E110="","",$E110*'参数配置'!$B$10)</f>
        <v/>
      </c>
      <c r="Q110" s="56">
        <f>IF($E110="","",$E110*'参数配置'!$B$11)</f>
        <v/>
      </c>
      <c r="R110" s="56">
        <f>IF($E110="","",$I110+$F110+$J110+$K110+$L110+$M110+$N110+$O110+$P110+$Q110)</f>
        <v/>
      </c>
      <c r="S110" s="56">
        <f>IF($E110="","",$E110-$R110)</f>
        <v/>
      </c>
      <c r="T110" s="57">
        <f>IF(OR($E110="",$E110=0),"",$S110/$E110)</f>
        <v/>
      </c>
      <c r="U110" s="38">
        <f>IF($E110="","",$S110*'参数配置'!$B$5)</f>
        <v/>
      </c>
      <c r="V110" s="57">
        <f>IF($E110="","",1-$H110-'参数配置'!$D$20-'参数配置'!$B$8-$G110-'参数配置'!$B$10-'参数配置'!$B$11-IF($E110&lt;='参数配置'!$B$7,'参数配置'!$B$6,0))</f>
        <v/>
      </c>
      <c r="W110" s="56">
        <f>IF($E110="","",$I110+$F110+$L110)</f>
        <v/>
      </c>
      <c r="X110" s="56">
        <f>IF($E110="","",IF($V110&gt;0,$W110/$V110,""))</f>
        <v/>
      </c>
      <c r="Y110" s="56">
        <f>IF($E110="","",IF(($V110-'参数配置'!$B$9)&gt;0,$W110/($V110-'参数配置'!$B$9),""))</f>
        <v/>
      </c>
      <c r="Z110" s="37">
        <f>IF($E110="","",IF(OR($C110="禁售",$C110="需资质"),"⛔"&amp;$C110&amp;"·不应进入利润表",IF($V110&lt;=0,"❗贡献率≤0·任何价都亏损",IF($E110&lt;$X110,"⛔低于保本价·亏损",IF($Y110="","⚠️目标不可达·需降本",IF($E110&lt;$Y110,"⚠️低于红线·未达目标利润率","✅达目标利润率"))))))</f>
        <v/>
      </c>
    </row>
    <row r="111">
      <c r="A111" s="52" t="n"/>
      <c r="B111" s="46">
        <f>IFERROR(VLOOKUP($A111,'SKU主表'!$A:$M,2,0),"")</f>
        <v/>
      </c>
      <c r="C111" s="47">
        <f>IFERROR(VLOOKUP($A111,'SKU主表'!$A:$M,9,0),"")</f>
        <v/>
      </c>
      <c r="D111" s="47">
        <f>IFERROR(VLOOKUP($A111,'SKU主表'!$A:$M,5,0),"")</f>
        <v/>
      </c>
      <c r="E111" s="58" t="n"/>
      <c r="F111" s="58" t="n"/>
      <c r="G111" s="59" t="n"/>
      <c r="H111" s="59">
        <f>'参数配置'!$D$22</f>
        <v/>
      </c>
      <c r="I111" s="56">
        <f>IF($D111="","",$D111/'参数配置'!$B$5)</f>
        <v/>
      </c>
      <c r="J111" s="56">
        <f>IF($E111="","",$E111*$H111)</f>
        <v/>
      </c>
      <c r="K111" s="56">
        <f>IF($E111="","",$E111*'参数配置'!$D$20)</f>
        <v/>
      </c>
      <c r="L111" s="56">
        <f>IF($E111="","",'参数配置'!$D$21)</f>
        <v/>
      </c>
      <c r="M111" s="56">
        <f>IF($E111="","",$E111*'参数配置'!$B$8)</f>
        <v/>
      </c>
      <c r="N111" s="56">
        <f>IF($E111="","",IF($E111&lt;='参数配置'!$B$7,$E111*'参数配置'!$B$6,0))</f>
        <v/>
      </c>
      <c r="O111" s="56">
        <f>IF($E111="","",$E111*$G111)</f>
        <v/>
      </c>
      <c r="P111" s="56">
        <f>IF($E111="","",$E111*'参数配置'!$B$10)</f>
        <v/>
      </c>
      <c r="Q111" s="56">
        <f>IF($E111="","",$E111*'参数配置'!$B$11)</f>
        <v/>
      </c>
      <c r="R111" s="56">
        <f>IF($E111="","",$I111+$F111+$J111+$K111+$L111+$M111+$N111+$O111+$P111+$Q111)</f>
        <v/>
      </c>
      <c r="S111" s="56">
        <f>IF($E111="","",$E111-$R111)</f>
        <v/>
      </c>
      <c r="T111" s="57">
        <f>IF(OR($E111="",$E111=0),"",$S111/$E111)</f>
        <v/>
      </c>
      <c r="U111" s="38">
        <f>IF($E111="","",$S111*'参数配置'!$B$5)</f>
        <v/>
      </c>
      <c r="V111" s="57">
        <f>IF($E111="","",1-$H111-'参数配置'!$D$20-'参数配置'!$B$8-$G111-'参数配置'!$B$10-'参数配置'!$B$11-IF($E111&lt;='参数配置'!$B$7,'参数配置'!$B$6,0))</f>
        <v/>
      </c>
      <c r="W111" s="56">
        <f>IF($E111="","",$I111+$F111+$L111)</f>
        <v/>
      </c>
      <c r="X111" s="56">
        <f>IF($E111="","",IF($V111&gt;0,$W111/$V111,""))</f>
        <v/>
      </c>
      <c r="Y111" s="56">
        <f>IF($E111="","",IF(($V111-'参数配置'!$B$9)&gt;0,$W111/($V111-'参数配置'!$B$9),""))</f>
        <v/>
      </c>
      <c r="Z111" s="37">
        <f>IF($E111="","",IF(OR($C111="禁售",$C111="需资质"),"⛔"&amp;$C111&amp;"·不应进入利润表",IF($V111&lt;=0,"❗贡献率≤0·任何价都亏损",IF($E111&lt;$X111,"⛔低于保本价·亏损",IF($Y111="","⚠️目标不可达·需降本",IF($E111&lt;$Y111,"⚠️低于红线·未达目标利润率","✅达目标利润率"))))))</f>
        <v/>
      </c>
    </row>
    <row r="112">
      <c r="A112" s="52" t="n"/>
      <c r="B112" s="46">
        <f>IFERROR(VLOOKUP($A112,'SKU主表'!$A:$M,2,0),"")</f>
        <v/>
      </c>
      <c r="C112" s="47">
        <f>IFERROR(VLOOKUP($A112,'SKU主表'!$A:$M,9,0),"")</f>
        <v/>
      </c>
      <c r="D112" s="47">
        <f>IFERROR(VLOOKUP($A112,'SKU主表'!$A:$M,5,0),"")</f>
        <v/>
      </c>
      <c r="E112" s="58" t="n"/>
      <c r="F112" s="58" t="n"/>
      <c r="G112" s="59" t="n"/>
      <c r="H112" s="59">
        <f>'参数配置'!$D$22</f>
        <v/>
      </c>
      <c r="I112" s="56">
        <f>IF($D112="","",$D112/'参数配置'!$B$5)</f>
        <v/>
      </c>
      <c r="J112" s="56">
        <f>IF($E112="","",$E112*$H112)</f>
        <v/>
      </c>
      <c r="K112" s="56">
        <f>IF($E112="","",$E112*'参数配置'!$D$20)</f>
        <v/>
      </c>
      <c r="L112" s="56">
        <f>IF($E112="","",'参数配置'!$D$21)</f>
        <v/>
      </c>
      <c r="M112" s="56">
        <f>IF($E112="","",$E112*'参数配置'!$B$8)</f>
        <v/>
      </c>
      <c r="N112" s="56">
        <f>IF($E112="","",IF($E112&lt;='参数配置'!$B$7,$E112*'参数配置'!$B$6,0))</f>
        <v/>
      </c>
      <c r="O112" s="56">
        <f>IF($E112="","",$E112*$G112)</f>
        <v/>
      </c>
      <c r="P112" s="56">
        <f>IF($E112="","",$E112*'参数配置'!$B$10)</f>
        <v/>
      </c>
      <c r="Q112" s="56">
        <f>IF($E112="","",$E112*'参数配置'!$B$11)</f>
        <v/>
      </c>
      <c r="R112" s="56">
        <f>IF($E112="","",$I112+$F112+$J112+$K112+$L112+$M112+$N112+$O112+$P112+$Q112)</f>
        <v/>
      </c>
      <c r="S112" s="56">
        <f>IF($E112="","",$E112-$R112)</f>
        <v/>
      </c>
      <c r="T112" s="57">
        <f>IF(OR($E112="",$E112=0),"",$S112/$E112)</f>
        <v/>
      </c>
      <c r="U112" s="38">
        <f>IF($E112="","",$S112*'参数配置'!$B$5)</f>
        <v/>
      </c>
      <c r="V112" s="57">
        <f>IF($E112="","",1-$H112-'参数配置'!$D$20-'参数配置'!$B$8-$G112-'参数配置'!$B$10-'参数配置'!$B$11-IF($E112&lt;='参数配置'!$B$7,'参数配置'!$B$6,0))</f>
        <v/>
      </c>
      <c r="W112" s="56">
        <f>IF($E112="","",$I112+$F112+$L112)</f>
        <v/>
      </c>
      <c r="X112" s="56">
        <f>IF($E112="","",IF($V112&gt;0,$W112/$V112,""))</f>
        <v/>
      </c>
      <c r="Y112" s="56">
        <f>IF($E112="","",IF(($V112-'参数配置'!$B$9)&gt;0,$W112/($V112-'参数配置'!$B$9),""))</f>
        <v/>
      </c>
      <c r="Z112" s="37">
        <f>IF($E112="","",IF(OR($C112="禁售",$C112="需资质"),"⛔"&amp;$C112&amp;"·不应进入利润表",IF($V112&lt;=0,"❗贡献率≤0·任何价都亏损",IF($E112&lt;$X112,"⛔低于保本价·亏损",IF($Y112="","⚠️目标不可达·需降本",IF($E112&lt;$Y112,"⚠️低于红线·未达目标利润率","✅达目标利润率"))))))</f>
        <v/>
      </c>
    </row>
    <row r="113">
      <c r="A113" s="52" t="n"/>
      <c r="B113" s="46">
        <f>IFERROR(VLOOKUP($A113,'SKU主表'!$A:$M,2,0),"")</f>
        <v/>
      </c>
      <c r="C113" s="47">
        <f>IFERROR(VLOOKUP($A113,'SKU主表'!$A:$M,9,0),"")</f>
        <v/>
      </c>
      <c r="D113" s="47">
        <f>IFERROR(VLOOKUP($A113,'SKU主表'!$A:$M,5,0),"")</f>
        <v/>
      </c>
      <c r="E113" s="58" t="n"/>
      <c r="F113" s="58" t="n"/>
      <c r="G113" s="59" t="n"/>
      <c r="H113" s="59">
        <f>'参数配置'!$D$22</f>
        <v/>
      </c>
      <c r="I113" s="56">
        <f>IF($D113="","",$D113/'参数配置'!$B$5)</f>
        <v/>
      </c>
      <c r="J113" s="56">
        <f>IF($E113="","",$E113*$H113)</f>
        <v/>
      </c>
      <c r="K113" s="56">
        <f>IF($E113="","",$E113*'参数配置'!$D$20)</f>
        <v/>
      </c>
      <c r="L113" s="56">
        <f>IF($E113="","",'参数配置'!$D$21)</f>
        <v/>
      </c>
      <c r="M113" s="56">
        <f>IF($E113="","",$E113*'参数配置'!$B$8)</f>
        <v/>
      </c>
      <c r="N113" s="56">
        <f>IF($E113="","",IF($E113&lt;='参数配置'!$B$7,$E113*'参数配置'!$B$6,0))</f>
        <v/>
      </c>
      <c r="O113" s="56">
        <f>IF($E113="","",$E113*$G113)</f>
        <v/>
      </c>
      <c r="P113" s="56">
        <f>IF($E113="","",$E113*'参数配置'!$B$10)</f>
        <v/>
      </c>
      <c r="Q113" s="56">
        <f>IF($E113="","",$E113*'参数配置'!$B$11)</f>
        <v/>
      </c>
      <c r="R113" s="56">
        <f>IF($E113="","",$I113+$F113+$J113+$K113+$L113+$M113+$N113+$O113+$P113+$Q113)</f>
        <v/>
      </c>
      <c r="S113" s="56">
        <f>IF($E113="","",$E113-$R113)</f>
        <v/>
      </c>
      <c r="T113" s="57">
        <f>IF(OR($E113="",$E113=0),"",$S113/$E113)</f>
        <v/>
      </c>
      <c r="U113" s="38">
        <f>IF($E113="","",$S113*'参数配置'!$B$5)</f>
        <v/>
      </c>
      <c r="V113" s="57">
        <f>IF($E113="","",1-$H113-'参数配置'!$D$20-'参数配置'!$B$8-$G113-'参数配置'!$B$10-'参数配置'!$B$11-IF($E113&lt;='参数配置'!$B$7,'参数配置'!$B$6,0))</f>
        <v/>
      </c>
      <c r="W113" s="56">
        <f>IF($E113="","",$I113+$F113+$L113)</f>
        <v/>
      </c>
      <c r="X113" s="56">
        <f>IF($E113="","",IF($V113&gt;0,$W113/$V113,""))</f>
        <v/>
      </c>
      <c r="Y113" s="56">
        <f>IF($E113="","",IF(($V113-'参数配置'!$B$9)&gt;0,$W113/($V113-'参数配置'!$B$9),""))</f>
        <v/>
      </c>
      <c r="Z113" s="37">
        <f>IF($E113="","",IF(OR($C113="禁售",$C113="需资质"),"⛔"&amp;$C113&amp;"·不应进入利润表",IF($V113&lt;=0,"❗贡献率≤0·任何价都亏损",IF($E113&lt;$X113,"⛔低于保本价·亏损",IF($Y113="","⚠️目标不可达·需降本",IF($E113&lt;$Y113,"⚠️低于红线·未达目标利润率","✅达目标利润率"))))))</f>
        <v/>
      </c>
    </row>
    <row r="114">
      <c r="A114" s="52" t="n"/>
      <c r="B114" s="46">
        <f>IFERROR(VLOOKUP($A114,'SKU主表'!$A:$M,2,0),"")</f>
        <v/>
      </c>
      <c r="C114" s="47">
        <f>IFERROR(VLOOKUP($A114,'SKU主表'!$A:$M,9,0),"")</f>
        <v/>
      </c>
      <c r="D114" s="47">
        <f>IFERROR(VLOOKUP($A114,'SKU主表'!$A:$M,5,0),"")</f>
        <v/>
      </c>
      <c r="E114" s="58" t="n"/>
      <c r="F114" s="58" t="n"/>
      <c r="G114" s="59" t="n"/>
      <c r="H114" s="59">
        <f>'参数配置'!$D$22</f>
        <v/>
      </c>
      <c r="I114" s="56">
        <f>IF($D114="","",$D114/'参数配置'!$B$5)</f>
        <v/>
      </c>
      <c r="J114" s="56">
        <f>IF($E114="","",$E114*$H114)</f>
        <v/>
      </c>
      <c r="K114" s="56">
        <f>IF($E114="","",$E114*'参数配置'!$D$20)</f>
        <v/>
      </c>
      <c r="L114" s="56">
        <f>IF($E114="","",'参数配置'!$D$21)</f>
        <v/>
      </c>
      <c r="M114" s="56">
        <f>IF($E114="","",$E114*'参数配置'!$B$8)</f>
        <v/>
      </c>
      <c r="N114" s="56">
        <f>IF($E114="","",IF($E114&lt;='参数配置'!$B$7,$E114*'参数配置'!$B$6,0))</f>
        <v/>
      </c>
      <c r="O114" s="56">
        <f>IF($E114="","",$E114*$G114)</f>
        <v/>
      </c>
      <c r="P114" s="56">
        <f>IF($E114="","",$E114*'参数配置'!$B$10)</f>
        <v/>
      </c>
      <c r="Q114" s="56">
        <f>IF($E114="","",$E114*'参数配置'!$B$11)</f>
        <v/>
      </c>
      <c r="R114" s="56">
        <f>IF($E114="","",$I114+$F114+$J114+$K114+$L114+$M114+$N114+$O114+$P114+$Q114)</f>
        <v/>
      </c>
      <c r="S114" s="56">
        <f>IF($E114="","",$E114-$R114)</f>
        <v/>
      </c>
      <c r="T114" s="57">
        <f>IF(OR($E114="",$E114=0),"",$S114/$E114)</f>
        <v/>
      </c>
      <c r="U114" s="38">
        <f>IF($E114="","",$S114*'参数配置'!$B$5)</f>
        <v/>
      </c>
      <c r="V114" s="57">
        <f>IF($E114="","",1-$H114-'参数配置'!$D$20-'参数配置'!$B$8-$G114-'参数配置'!$B$10-'参数配置'!$B$11-IF($E114&lt;='参数配置'!$B$7,'参数配置'!$B$6,0))</f>
        <v/>
      </c>
      <c r="W114" s="56">
        <f>IF($E114="","",$I114+$F114+$L114)</f>
        <v/>
      </c>
      <c r="X114" s="56">
        <f>IF($E114="","",IF($V114&gt;0,$W114/$V114,""))</f>
        <v/>
      </c>
      <c r="Y114" s="56">
        <f>IF($E114="","",IF(($V114-'参数配置'!$B$9)&gt;0,$W114/($V114-'参数配置'!$B$9),""))</f>
        <v/>
      </c>
      <c r="Z114" s="37">
        <f>IF($E114="","",IF(OR($C114="禁售",$C114="需资质"),"⛔"&amp;$C114&amp;"·不应进入利润表",IF($V114&lt;=0,"❗贡献率≤0·任何价都亏损",IF($E114&lt;$X114,"⛔低于保本价·亏损",IF($Y114="","⚠️目标不可达·需降本",IF($E114&lt;$Y114,"⚠️低于红线·未达目标利润率","✅达目标利润率"))))))</f>
        <v/>
      </c>
    </row>
    <row r="115">
      <c r="A115" s="52" t="n"/>
      <c r="B115" s="46">
        <f>IFERROR(VLOOKUP($A115,'SKU主表'!$A:$M,2,0),"")</f>
        <v/>
      </c>
      <c r="C115" s="47">
        <f>IFERROR(VLOOKUP($A115,'SKU主表'!$A:$M,9,0),"")</f>
        <v/>
      </c>
      <c r="D115" s="47">
        <f>IFERROR(VLOOKUP($A115,'SKU主表'!$A:$M,5,0),"")</f>
        <v/>
      </c>
      <c r="E115" s="58" t="n"/>
      <c r="F115" s="58" t="n"/>
      <c r="G115" s="59" t="n"/>
      <c r="H115" s="59">
        <f>'参数配置'!$D$22</f>
        <v/>
      </c>
      <c r="I115" s="56">
        <f>IF($D115="","",$D115/'参数配置'!$B$5)</f>
        <v/>
      </c>
      <c r="J115" s="56">
        <f>IF($E115="","",$E115*$H115)</f>
        <v/>
      </c>
      <c r="K115" s="56">
        <f>IF($E115="","",$E115*'参数配置'!$D$20)</f>
        <v/>
      </c>
      <c r="L115" s="56">
        <f>IF($E115="","",'参数配置'!$D$21)</f>
        <v/>
      </c>
      <c r="M115" s="56">
        <f>IF($E115="","",$E115*'参数配置'!$B$8)</f>
        <v/>
      </c>
      <c r="N115" s="56">
        <f>IF($E115="","",IF($E115&lt;='参数配置'!$B$7,$E115*'参数配置'!$B$6,0))</f>
        <v/>
      </c>
      <c r="O115" s="56">
        <f>IF($E115="","",$E115*$G115)</f>
        <v/>
      </c>
      <c r="P115" s="56">
        <f>IF($E115="","",$E115*'参数配置'!$B$10)</f>
        <v/>
      </c>
      <c r="Q115" s="56">
        <f>IF($E115="","",$E115*'参数配置'!$B$11)</f>
        <v/>
      </c>
      <c r="R115" s="56">
        <f>IF($E115="","",$I115+$F115+$J115+$K115+$L115+$M115+$N115+$O115+$P115+$Q115)</f>
        <v/>
      </c>
      <c r="S115" s="56">
        <f>IF($E115="","",$E115-$R115)</f>
        <v/>
      </c>
      <c r="T115" s="57">
        <f>IF(OR($E115="",$E115=0),"",$S115/$E115)</f>
        <v/>
      </c>
      <c r="U115" s="38">
        <f>IF($E115="","",$S115*'参数配置'!$B$5)</f>
        <v/>
      </c>
      <c r="V115" s="57">
        <f>IF($E115="","",1-$H115-'参数配置'!$D$20-'参数配置'!$B$8-$G115-'参数配置'!$B$10-'参数配置'!$B$11-IF($E115&lt;='参数配置'!$B$7,'参数配置'!$B$6,0))</f>
        <v/>
      </c>
      <c r="W115" s="56">
        <f>IF($E115="","",$I115+$F115+$L115)</f>
        <v/>
      </c>
      <c r="X115" s="56">
        <f>IF($E115="","",IF($V115&gt;0,$W115/$V115,""))</f>
        <v/>
      </c>
      <c r="Y115" s="56">
        <f>IF($E115="","",IF(($V115-'参数配置'!$B$9)&gt;0,$W115/($V115-'参数配置'!$B$9),""))</f>
        <v/>
      </c>
      <c r="Z115" s="37">
        <f>IF($E115="","",IF(OR($C115="禁售",$C115="需资质"),"⛔"&amp;$C115&amp;"·不应进入利润表",IF($V115&lt;=0,"❗贡献率≤0·任何价都亏损",IF($E115&lt;$X115,"⛔低于保本价·亏损",IF($Y115="","⚠️目标不可达·需降本",IF($E115&lt;$Y115,"⚠️低于红线·未达目标利润率","✅达目标利润率"))))))</f>
        <v/>
      </c>
    </row>
    <row r="116">
      <c r="A116" s="52" t="n"/>
      <c r="B116" s="46">
        <f>IFERROR(VLOOKUP($A116,'SKU主表'!$A:$M,2,0),"")</f>
        <v/>
      </c>
      <c r="C116" s="47">
        <f>IFERROR(VLOOKUP($A116,'SKU主表'!$A:$M,9,0),"")</f>
        <v/>
      </c>
      <c r="D116" s="47">
        <f>IFERROR(VLOOKUP($A116,'SKU主表'!$A:$M,5,0),"")</f>
        <v/>
      </c>
      <c r="E116" s="58" t="n"/>
      <c r="F116" s="58" t="n"/>
      <c r="G116" s="59" t="n"/>
      <c r="H116" s="59">
        <f>'参数配置'!$D$22</f>
        <v/>
      </c>
      <c r="I116" s="56">
        <f>IF($D116="","",$D116/'参数配置'!$B$5)</f>
        <v/>
      </c>
      <c r="J116" s="56">
        <f>IF($E116="","",$E116*$H116)</f>
        <v/>
      </c>
      <c r="K116" s="56">
        <f>IF($E116="","",$E116*'参数配置'!$D$20)</f>
        <v/>
      </c>
      <c r="L116" s="56">
        <f>IF($E116="","",'参数配置'!$D$21)</f>
        <v/>
      </c>
      <c r="M116" s="56">
        <f>IF($E116="","",$E116*'参数配置'!$B$8)</f>
        <v/>
      </c>
      <c r="N116" s="56">
        <f>IF($E116="","",IF($E116&lt;='参数配置'!$B$7,$E116*'参数配置'!$B$6,0))</f>
        <v/>
      </c>
      <c r="O116" s="56">
        <f>IF($E116="","",$E116*$G116)</f>
        <v/>
      </c>
      <c r="P116" s="56">
        <f>IF($E116="","",$E116*'参数配置'!$B$10)</f>
        <v/>
      </c>
      <c r="Q116" s="56">
        <f>IF($E116="","",$E116*'参数配置'!$B$11)</f>
        <v/>
      </c>
      <c r="R116" s="56">
        <f>IF($E116="","",$I116+$F116+$J116+$K116+$L116+$M116+$N116+$O116+$P116+$Q116)</f>
        <v/>
      </c>
      <c r="S116" s="56">
        <f>IF($E116="","",$E116-$R116)</f>
        <v/>
      </c>
      <c r="T116" s="57">
        <f>IF(OR($E116="",$E116=0),"",$S116/$E116)</f>
        <v/>
      </c>
      <c r="U116" s="38">
        <f>IF($E116="","",$S116*'参数配置'!$B$5)</f>
        <v/>
      </c>
      <c r="V116" s="57">
        <f>IF($E116="","",1-$H116-'参数配置'!$D$20-'参数配置'!$B$8-$G116-'参数配置'!$B$10-'参数配置'!$B$11-IF($E116&lt;='参数配置'!$B$7,'参数配置'!$B$6,0))</f>
        <v/>
      </c>
      <c r="W116" s="56">
        <f>IF($E116="","",$I116+$F116+$L116)</f>
        <v/>
      </c>
      <c r="X116" s="56">
        <f>IF($E116="","",IF($V116&gt;0,$W116/$V116,""))</f>
        <v/>
      </c>
      <c r="Y116" s="56">
        <f>IF($E116="","",IF(($V116-'参数配置'!$B$9)&gt;0,$W116/($V116-'参数配置'!$B$9),""))</f>
        <v/>
      </c>
      <c r="Z116" s="37">
        <f>IF($E116="","",IF(OR($C116="禁售",$C116="需资质"),"⛔"&amp;$C116&amp;"·不应进入利润表",IF($V116&lt;=0,"❗贡献率≤0·任何价都亏损",IF($E116&lt;$X116,"⛔低于保本价·亏损",IF($Y116="","⚠️目标不可达·需降本",IF($E116&lt;$Y116,"⚠️低于红线·未达目标利润率","✅达目标利润率"))))))</f>
        <v/>
      </c>
    </row>
    <row r="117">
      <c r="A117" s="52" t="n"/>
      <c r="B117" s="46">
        <f>IFERROR(VLOOKUP($A117,'SKU主表'!$A:$M,2,0),"")</f>
        <v/>
      </c>
      <c r="C117" s="47">
        <f>IFERROR(VLOOKUP($A117,'SKU主表'!$A:$M,9,0),"")</f>
        <v/>
      </c>
      <c r="D117" s="47">
        <f>IFERROR(VLOOKUP($A117,'SKU主表'!$A:$M,5,0),"")</f>
        <v/>
      </c>
      <c r="E117" s="58" t="n"/>
      <c r="F117" s="58" t="n"/>
      <c r="G117" s="59" t="n"/>
      <c r="H117" s="59">
        <f>'参数配置'!$D$22</f>
        <v/>
      </c>
      <c r="I117" s="56">
        <f>IF($D117="","",$D117/'参数配置'!$B$5)</f>
        <v/>
      </c>
      <c r="J117" s="56">
        <f>IF($E117="","",$E117*$H117)</f>
        <v/>
      </c>
      <c r="K117" s="56">
        <f>IF($E117="","",$E117*'参数配置'!$D$20)</f>
        <v/>
      </c>
      <c r="L117" s="56">
        <f>IF($E117="","",'参数配置'!$D$21)</f>
        <v/>
      </c>
      <c r="M117" s="56">
        <f>IF($E117="","",$E117*'参数配置'!$B$8)</f>
        <v/>
      </c>
      <c r="N117" s="56">
        <f>IF($E117="","",IF($E117&lt;='参数配置'!$B$7,$E117*'参数配置'!$B$6,0))</f>
        <v/>
      </c>
      <c r="O117" s="56">
        <f>IF($E117="","",$E117*$G117)</f>
        <v/>
      </c>
      <c r="P117" s="56">
        <f>IF($E117="","",$E117*'参数配置'!$B$10)</f>
        <v/>
      </c>
      <c r="Q117" s="56">
        <f>IF($E117="","",$E117*'参数配置'!$B$11)</f>
        <v/>
      </c>
      <c r="R117" s="56">
        <f>IF($E117="","",$I117+$F117+$J117+$K117+$L117+$M117+$N117+$O117+$P117+$Q117)</f>
        <v/>
      </c>
      <c r="S117" s="56">
        <f>IF($E117="","",$E117-$R117)</f>
        <v/>
      </c>
      <c r="T117" s="57">
        <f>IF(OR($E117="",$E117=0),"",$S117/$E117)</f>
        <v/>
      </c>
      <c r="U117" s="38">
        <f>IF($E117="","",$S117*'参数配置'!$B$5)</f>
        <v/>
      </c>
      <c r="V117" s="57">
        <f>IF($E117="","",1-$H117-'参数配置'!$D$20-'参数配置'!$B$8-$G117-'参数配置'!$B$10-'参数配置'!$B$11-IF($E117&lt;='参数配置'!$B$7,'参数配置'!$B$6,0))</f>
        <v/>
      </c>
      <c r="W117" s="56">
        <f>IF($E117="","",$I117+$F117+$L117)</f>
        <v/>
      </c>
      <c r="X117" s="56">
        <f>IF($E117="","",IF($V117&gt;0,$W117/$V117,""))</f>
        <v/>
      </c>
      <c r="Y117" s="56">
        <f>IF($E117="","",IF(($V117-'参数配置'!$B$9)&gt;0,$W117/($V117-'参数配置'!$B$9),""))</f>
        <v/>
      </c>
      <c r="Z117" s="37">
        <f>IF($E117="","",IF(OR($C117="禁售",$C117="需资质"),"⛔"&amp;$C117&amp;"·不应进入利润表",IF($V117&lt;=0,"❗贡献率≤0·任何价都亏损",IF($E117&lt;$X117,"⛔低于保本价·亏损",IF($Y117="","⚠️目标不可达·需降本",IF($E117&lt;$Y117,"⚠️低于红线·未达目标利润率","✅达目标利润率"))))))</f>
        <v/>
      </c>
    </row>
    <row r="118">
      <c r="A118" s="52" t="n"/>
      <c r="B118" s="46">
        <f>IFERROR(VLOOKUP($A118,'SKU主表'!$A:$M,2,0),"")</f>
        <v/>
      </c>
      <c r="C118" s="47">
        <f>IFERROR(VLOOKUP($A118,'SKU主表'!$A:$M,9,0),"")</f>
        <v/>
      </c>
      <c r="D118" s="47">
        <f>IFERROR(VLOOKUP($A118,'SKU主表'!$A:$M,5,0),"")</f>
        <v/>
      </c>
      <c r="E118" s="58" t="n"/>
      <c r="F118" s="58" t="n"/>
      <c r="G118" s="59" t="n"/>
      <c r="H118" s="59">
        <f>'参数配置'!$D$22</f>
        <v/>
      </c>
      <c r="I118" s="56">
        <f>IF($D118="","",$D118/'参数配置'!$B$5)</f>
        <v/>
      </c>
      <c r="J118" s="56">
        <f>IF($E118="","",$E118*$H118)</f>
        <v/>
      </c>
      <c r="K118" s="56">
        <f>IF($E118="","",$E118*'参数配置'!$D$20)</f>
        <v/>
      </c>
      <c r="L118" s="56">
        <f>IF($E118="","",'参数配置'!$D$21)</f>
        <v/>
      </c>
      <c r="M118" s="56">
        <f>IF($E118="","",$E118*'参数配置'!$B$8)</f>
        <v/>
      </c>
      <c r="N118" s="56">
        <f>IF($E118="","",IF($E118&lt;='参数配置'!$B$7,$E118*'参数配置'!$B$6,0))</f>
        <v/>
      </c>
      <c r="O118" s="56">
        <f>IF($E118="","",$E118*$G118)</f>
        <v/>
      </c>
      <c r="P118" s="56">
        <f>IF($E118="","",$E118*'参数配置'!$B$10)</f>
        <v/>
      </c>
      <c r="Q118" s="56">
        <f>IF($E118="","",$E118*'参数配置'!$B$11)</f>
        <v/>
      </c>
      <c r="R118" s="56">
        <f>IF($E118="","",$I118+$F118+$J118+$K118+$L118+$M118+$N118+$O118+$P118+$Q118)</f>
        <v/>
      </c>
      <c r="S118" s="56">
        <f>IF($E118="","",$E118-$R118)</f>
        <v/>
      </c>
      <c r="T118" s="57">
        <f>IF(OR($E118="",$E118=0),"",$S118/$E118)</f>
        <v/>
      </c>
      <c r="U118" s="38">
        <f>IF($E118="","",$S118*'参数配置'!$B$5)</f>
        <v/>
      </c>
      <c r="V118" s="57">
        <f>IF($E118="","",1-$H118-'参数配置'!$D$20-'参数配置'!$B$8-$G118-'参数配置'!$B$10-'参数配置'!$B$11-IF($E118&lt;='参数配置'!$B$7,'参数配置'!$B$6,0))</f>
        <v/>
      </c>
      <c r="W118" s="56">
        <f>IF($E118="","",$I118+$F118+$L118)</f>
        <v/>
      </c>
      <c r="X118" s="56">
        <f>IF($E118="","",IF($V118&gt;0,$W118/$V118,""))</f>
        <v/>
      </c>
      <c r="Y118" s="56">
        <f>IF($E118="","",IF(($V118-'参数配置'!$B$9)&gt;0,$W118/($V118-'参数配置'!$B$9),""))</f>
        <v/>
      </c>
      <c r="Z118" s="37">
        <f>IF($E118="","",IF(OR($C118="禁售",$C118="需资质"),"⛔"&amp;$C118&amp;"·不应进入利润表",IF($V118&lt;=0,"❗贡献率≤0·任何价都亏损",IF($E118&lt;$X118,"⛔低于保本价·亏损",IF($Y118="","⚠️目标不可达·需降本",IF($E118&lt;$Y118,"⚠️低于红线·未达目标利润率","✅达目标利润率"))))))</f>
        <v/>
      </c>
    </row>
    <row r="119">
      <c r="A119" s="52" t="n"/>
      <c r="B119" s="46">
        <f>IFERROR(VLOOKUP($A119,'SKU主表'!$A:$M,2,0),"")</f>
        <v/>
      </c>
      <c r="C119" s="47">
        <f>IFERROR(VLOOKUP($A119,'SKU主表'!$A:$M,9,0),"")</f>
        <v/>
      </c>
      <c r="D119" s="47">
        <f>IFERROR(VLOOKUP($A119,'SKU主表'!$A:$M,5,0),"")</f>
        <v/>
      </c>
      <c r="E119" s="58" t="n"/>
      <c r="F119" s="58" t="n"/>
      <c r="G119" s="59" t="n"/>
      <c r="H119" s="59">
        <f>'参数配置'!$D$22</f>
        <v/>
      </c>
      <c r="I119" s="56">
        <f>IF($D119="","",$D119/'参数配置'!$B$5)</f>
        <v/>
      </c>
      <c r="J119" s="56">
        <f>IF($E119="","",$E119*$H119)</f>
        <v/>
      </c>
      <c r="K119" s="56">
        <f>IF($E119="","",$E119*'参数配置'!$D$20)</f>
        <v/>
      </c>
      <c r="L119" s="56">
        <f>IF($E119="","",'参数配置'!$D$21)</f>
        <v/>
      </c>
      <c r="M119" s="56">
        <f>IF($E119="","",$E119*'参数配置'!$B$8)</f>
        <v/>
      </c>
      <c r="N119" s="56">
        <f>IF($E119="","",IF($E119&lt;='参数配置'!$B$7,$E119*'参数配置'!$B$6,0))</f>
        <v/>
      </c>
      <c r="O119" s="56">
        <f>IF($E119="","",$E119*$G119)</f>
        <v/>
      </c>
      <c r="P119" s="56">
        <f>IF($E119="","",$E119*'参数配置'!$B$10)</f>
        <v/>
      </c>
      <c r="Q119" s="56">
        <f>IF($E119="","",$E119*'参数配置'!$B$11)</f>
        <v/>
      </c>
      <c r="R119" s="56">
        <f>IF($E119="","",$I119+$F119+$J119+$K119+$L119+$M119+$N119+$O119+$P119+$Q119)</f>
        <v/>
      </c>
      <c r="S119" s="56">
        <f>IF($E119="","",$E119-$R119)</f>
        <v/>
      </c>
      <c r="T119" s="57">
        <f>IF(OR($E119="",$E119=0),"",$S119/$E119)</f>
        <v/>
      </c>
      <c r="U119" s="38">
        <f>IF($E119="","",$S119*'参数配置'!$B$5)</f>
        <v/>
      </c>
      <c r="V119" s="57">
        <f>IF($E119="","",1-$H119-'参数配置'!$D$20-'参数配置'!$B$8-$G119-'参数配置'!$B$10-'参数配置'!$B$11-IF($E119&lt;='参数配置'!$B$7,'参数配置'!$B$6,0))</f>
        <v/>
      </c>
      <c r="W119" s="56">
        <f>IF($E119="","",$I119+$F119+$L119)</f>
        <v/>
      </c>
      <c r="X119" s="56">
        <f>IF($E119="","",IF($V119&gt;0,$W119/$V119,""))</f>
        <v/>
      </c>
      <c r="Y119" s="56">
        <f>IF($E119="","",IF(($V119-'参数配置'!$B$9)&gt;0,$W119/($V119-'参数配置'!$B$9),""))</f>
        <v/>
      </c>
      <c r="Z119" s="37">
        <f>IF($E119="","",IF(OR($C119="禁售",$C119="需资质"),"⛔"&amp;$C119&amp;"·不应进入利润表",IF($V119&lt;=0,"❗贡献率≤0·任何价都亏损",IF($E119&lt;$X119,"⛔低于保本价·亏损",IF($Y119="","⚠️目标不可达·需降本",IF($E119&lt;$Y119,"⚠️低于红线·未达目标利润率","✅达目标利润率"))))))</f>
        <v/>
      </c>
    </row>
    <row r="120">
      <c r="A120" s="52" t="n"/>
      <c r="B120" s="46">
        <f>IFERROR(VLOOKUP($A120,'SKU主表'!$A:$M,2,0),"")</f>
        <v/>
      </c>
      <c r="C120" s="47">
        <f>IFERROR(VLOOKUP($A120,'SKU主表'!$A:$M,9,0),"")</f>
        <v/>
      </c>
      <c r="D120" s="47">
        <f>IFERROR(VLOOKUP($A120,'SKU主表'!$A:$M,5,0),"")</f>
        <v/>
      </c>
      <c r="E120" s="58" t="n"/>
      <c r="F120" s="58" t="n"/>
      <c r="G120" s="59" t="n"/>
      <c r="H120" s="59">
        <f>'参数配置'!$D$22</f>
        <v/>
      </c>
      <c r="I120" s="56">
        <f>IF($D120="","",$D120/'参数配置'!$B$5)</f>
        <v/>
      </c>
      <c r="J120" s="56">
        <f>IF($E120="","",$E120*$H120)</f>
        <v/>
      </c>
      <c r="K120" s="56">
        <f>IF($E120="","",$E120*'参数配置'!$D$20)</f>
        <v/>
      </c>
      <c r="L120" s="56">
        <f>IF($E120="","",'参数配置'!$D$21)</f>
        <v/>
      </c>
      <c r="M120" s="56">
        <f>IF($E120="","",$E120*'参数配置'!$B$8)</f>
        <v/>
      </c>
      <c r="N120" s="56">
        <f>IF($E120="","",IF($E120&lt;='参数配置'!$B$7,$E120*'参数配置'!$B$6,0))</f>
        <v/>
      </c>
      <c r="O120" s="56">
        <f>IF($E120="","",$E120*$G120)</f>
        <v/>
      </c>
      <c r="P120" s="56">
        <f>IF($E120="","",$E120*'参数配置'!$B$10)</f>
        <v/>
      </c>
      <c r="Q120" s="56">
        <f>IF($E120="","",$E120*'参数配置'!$B$11)</f>
        <v/>
      </c>
      <c r="R120" s="56">
        <f>IF($E120="","",$I120+$F120+$J120+$K120+$L120+$M120+$N120+$O120+$P120+$Q120)</f>
        <v/>
      </c>
      <c r="S120" s="56">
        <f>IF($E120="","",$E120-$R120)</f>
        <v/>
      </c>
      <c r="T120" s="57">
        <f>IF(OR($E120="",$E120=0),"",$S120/$E120)</f>
        <v/>
      </c>
      <c r="U120" s="38">
        <f>IF($E120="","",$S120*'参数配置'!$B$5)</f>
        <v/>
      </c>
      <c r="V120" s="57">
        <f>IF($E120="","",1-$H120-'参数配置'!$D$20-'参数配置'!$B$8-$G120-'参数配置'!$B$10-'参数配置'!$B$11-IF($E120&lt;='参数配置'!$B$7,'参数配置'!$B$6,0))</f>
        <v/>
      </c>
      <c r="W120" s="56">
        <f>IF($E120="","",$I120+$F120+$L120)</f>
        <v/>
      </c>
      <c r="X120" s="56">
        <f>IF($E120="","",IF($V120&gt;0,$W120/$V120,""))</f>
        <v/>
      </c>
      <c r="Y120" s="56">
        <f>IF($E120="","",IF(($V120-'参数配置'!$B$9)&gt;0,$W120/($V120-'参数配置'!$B$9),""))</f>
        <v/>
      </c>
      <c r="Z120" s="37">
        <f>IF($E120="","",IF(OR($C120="禁售",$C120="需资质"),"⛔"&amp;$C120&amp;"·不应进入利润表",IF($V120&lt;=0,"❗贡献率≤0·任何价都亏损",IF($E120&lt;$X120,"⛔低于保本价·亏损",IF($Y120="","⚠️目标不可达·需降本",IF($E120&lt;$Y120,"⚠️低于红线·未达目标利润率","✅达目标利润率"))))))</f>
        <v/>
      </c>
    </row>
    <row r="121">
      <c r="A121" s="52" t="n"/>
      <c r="B121" s="46">
        <f>IFERROR(VLOOKUP($A121,'SKU主表'!$A:$M,2,0),"")</f>
        <v/>
      </c>
      <c r="C121" s="47">
        <f>IFERROR(VLOOKUP($A121,'SKU主表'!$A:$M,9,0),"")</f>
        <v/>
      </c>
      <c r="D121" s="47">
        <f>IFERROR(VLOOKUP($A121,'SKU主表'!$A:$M,5,0),"")</f>
        <v/>
      </c>
      <c r="E121" s="58" t="n"/>
      <c r="F121" s="58" t="n"/>
      <c r="G121" s="59" t="n"/>
      <c r="H121" s="59">
        <f>'参数配置'!$D$22</f>
        <v/>
      </c>
      <c r="I121" s="56">
        <f>IF($D121="","",$D121/'参数配置'!$B$5)</f>
        <v/>
      </c>
      <c r="J121" s="56">
        <f>IF($E121="","",$E121*$H121)</f>
        <v/>
      </c>
      <c r="K121" s="56">
        <f>IF($E121="","",$E121*'参数配置'!$D$20)</f>
        <v/>
      </c>
      <c r="L121" s="56">
        <f>IF($E121="","",'参数配置'!$D$21)</f>
        <v/>
      </c>
      <c r="M121" s="56">
        <f>IF($E121="","",$E121*'参数配置'!$B$8)</f>
        <v/>
      </c>
      <c r="N121" s="56">
        <f>IF($E121="","",IF($E121&lt;='参数配置'!$B$7,$E121*'参数配置'!$B$6,0))</f>
        <v/>
      </c>
      <c r="O121" s="56">
        <f>IF($E121="","",$E121*$G121)</f>
        <v/>
      </c>
      <c r="P121" s="56">
        <f>IF($E121="","",$E121*'参数配置'!$B$10)</f>
        <v/>
      </c>
      <c r="Q121" s="56">
        <f>IF($E121="","",$E121*'参数配置'!$B$11)</f>
        <v/>
      </c>
      <c r="R121" s="56">
        <f>IF($E121="","",$I121+$F121+$J121+$K121+$L121+$M121+$N121+$O121+$P121+$Q121)</f>
        <v/>
      </c>
      <c r="S121" s="56">
        <f>IF($E121="","",$E121-$R121)</f>
        <v/>
      </c>
      <c r="T121" s="57">
        <f>IF(OR($E121="",$E121=0),"",$S121/$E121)</f>
        <v/>
      </c>
      <c r="U121" s="38">
        <f>IF($E121="","",$S121*'参数配置'!$B$5)</f>
        <v/>
      </c>
      <c r="V121" s="57">
        <f>IF($E121="","",1-$H121-'参数配置'!$D$20-'参数配置'!$B$8-$G121-'参数配置'!$B$10-'参数配置'!$B$11-IF($E121&lt;='参数配置'!$B$7,'参数配置'!$B$6,0))</f>
        <v/>
      </c>
      <c r="W121" s="56">
        <f>IF($E121="","",$I121+$F121+$L121)</f>
        <v/>
      </c>
      <c r="X121" s="56">
        <f>IF($E121="","",IF($V121&gt;0,$W121/$V121,""))</f>
        <v/>
      </c>
      <c r="Y121" s="56">
        <f>IF($E121="","",IF(($V121-'参数配置'!$B$9)&gt;0,$W121/($V121-'参数配置'!$B$9),""))</f>
        <v/>
      </c>
      <c r="Z121" s="37">
        <f>IF($E121="","",IF(OR($C121="禁售",$C121="需资质"),"⛔"&amp;$C121&amp;"·不应进入利润表",IF($V121&lt;=0,"❗贡献率≤0·任何价都亏损",IF($E121&lt;$X121,"⛔低于保本价·亏损",IF($Y121="","⚠️目标不可达·需降本",IF($E121&lt;$Y121,"⚠️低于红线·未达目标利润率","✅达目标利润率"))))))</f>
        <v/>
      </c>
    </row>
    <row r="122">
      <c r="A122" s="52" t="n"/>
      <c r="B122" s="46">
        <f>IFERROR(VLOOKUP($A122,'SKU主表'!$A:$M,2,0),"")</f>
        <v/>
      </c>
      <c r="C122" s="47">
        <f>IFERROR(VLOOKUP($A122,'SKU主表'!$A:$M,9,0),"")</f>
        <v/>
      </c>
      <c r="D122" s="47">
        <f>IFERROR(VLOOKUP($A122,'SKU主表'!$A:$M,5,0),"")</f>
        <v/>
      </c>
      <c r="E122" s="58" t="n"/>
      <c r="F122" s="58" t="n"/>
      <c r="G122" s="59" t="n"/>
      <c r="H122" s="59">
        <f>'参数配置'!$D$22</f>
        <v/>
      </c>
      <c r="I122" s="56">
        <f>IF($D122="","",$D122/'参数配置'!$B$5)</f>
        <v/>
      </c>
      <c r="J122" s="56">
        <f>IF($E122="","",$E122*$H122)</f>
        <v/>
      </c>
      <c r="K122" s="56">
        <f>IF($E122="","",$E122*'参数配置'!$D$20)</f>
        <v/>
      </c>
      <c r="L122" s="56">
        <f>IF($E122="","",'参数配置'!$D$21)</f>
        <v/>
      </c>
      <c r="M122" s="56">
        <f>IF($E122="","",$E122*'参数配置'!$B$8)</f>
        <v/>
      </c>
      <c r="N122" s="56">
        <f>IF($E122="","",IF($E122&lt;='参数配置'!$B$7,$E122*'参数配置'!$B$6,0))</f>
        <v/>
      </c>
      <c r="O122" s="56">
        <f>IF($E122="","",$E122*$G122)</f>
        <v/>
      </c>
      <c r="P122" s="56">
        <f>IF($E122="","",$E122*'参数配置'!$B$10)</f>
        <v/>
      </c>
      <c r="Q122" s="56">
        <f>IF($E122="","",$E122*'参数配置'!$B$11)</f>
        <v/>
      </c>
      <c r="R122" s="56">
        <f>IF($E122="","",$I122+$F122+$J122+$K122+$L122+$M122+$N122+$O122+$P122+$Q122)</f>
        <v/>
      </c>
      <c r="S122" s="56">
        <f>IF($E122="","",$E122-$R122)</f>
        <v/>
      </c>
      <c r="T122" s="57">
        <f>IF(OR($E122="",$E122=0),"",$S122/$E122)</f>
        <v/>
      </c>
      <c r="U122" s="38">
        <f>IF($E122="","",$S122*'参数配置'!$B$5)</f>
        <v/>
      </c>
      <c r="V122" s="57">
        <f>IF($E122="","",1-$H122-'参数配置'!$D$20-'参数配置'!$B$8-$G122-'参数配置'!$B$10-'参数配置'!$B$11-IF($E122&lt;='参数配置'!$B$7,'参数配置'!$B$6,0))</f>
        <v/>
      </c>
      <c r="W122" s="56">
        <f>IF($E122="","",$I122+$F122+$L122)</f>
        <v/>
      </c>
      <c r="X122" s="56">
        <f>IF($E122="","",IF($V122&gt;0,$W122/$V122,""))</f>
        <v/>
      </c>
      <c r="Y122" s="56">
        <f>IF($E122="","",IF(($V122-'参数配置'!$B$9)&gt;0,$W122/($V122-'参数配置'!$B$9),""))</f>
        <v/>
      </c>
      <c r="Z122" s="37">
        <f>IF($E122="","",IF(OR($C122="禁售",$C122="需资质"),"⛔"&amp;$C122&amp;"·不应进入利润表",IF($V122&lt;=0,"❗贡献率≤0·任何价都亏损",IF($E122&lt;$X122,"⛔低于保本价·亏损",IF($Y122="","⚠️目标不可达·需降本",IF($E122&lt;$Y122,"⚠️低于红线·未达目标利润率","✅达目标利润率"))))))</f>
        <v/>
      </c>
    </row>
    <row r="123">
      <c r="A123" s="52" t="n"/>
      <c r="B123" s="46">
        <f>IFERROR(VLOOKUP($A123,'SKU主表'!$A:$M,2,0),"")</f>
        <v/>
      </c>
      <c r="C123" s="47">
        <f>IFERROR(VLOOKUP($A123,'SKU主表'!$A:$M,9,0),"")</f>
        <v/>
      </c>
      <c r="D123" s="47">
        <f>IFERROR(VLOOKUP($A123,'SKU主表'!$A:$M,5,0),"")</f>
        <v/>
      </c>
      <c r="E123" s="58" t="n"/>
      <c r="F123" s="58" t="n"/>
      <c r="G123" s="59" t="n"/>
      <c r="H123" s="59">
        <f>'参数配置'!$D$22</f>
        <v/>
      </c>
      <c r="I123" s="56">
        <f>IF($D123="","",$D123/'参数配置'!$B$5)</f>
        <v/>
      </c>
      <c r="J123" s="56">
        <f>IF($E123="","",$E123*$H123)</f>
        <v/>
      </c>
      <c r="K123" s="56">
        <f>IF($E123="","",$E123*'参数配置'!$D$20)</f>
        <v/>
      </c>
      <c r="L123" s="56">
        <f>IF($E123="","",'参数配置'!$D$21)</f>
        <v/>
      </c>
      <c r="M123" s="56">
        <f>IF($E123="","",$E123*'参数配置'!$B$8)</f>
        <v/>
      </c>
      <c r="N123" s="56">
        <f>IF($E123="","",IF($E123&lt;='参数配置'!$B$7,$E123*'参数配置'!$B$6,0))</f>
        <v/>
      </c>
      <c r="O123" s="56">
        <f>IF($E123="","",$E123*$G123)</f>
        <v/>
      </c>
      <c r="P123" s="56">
        <f>IF($E123="","",$E123*'参数配置'!$B$10)</f>
        <v/>
      </c>
      <c r="Q123" s="56">
        <f>IF($E123="","",$E123*'参数配置'!$B$11)</f>
        <v/>
      </c>
      <c r="R123" s="56">
        <f>IF($E123="","",$I123+$F123+$J123+$K123+$L123+$M123+$N123+$O123+$P123+$Q123)</f>
        <v/>
      </c>
      <c r="S123" s="56">
        <f>IF($E123="","",$E123-$R123)</f>
        <v/>
      </c>
      <c r="T123" s="57">
        <f>IF(OR($E123="",$E123=0),"",$S123/$E123)</f>
        <v/>
      </c>
      <c r="U123" s="38">
        <f>IF($E123="","",$S123*'参数配置'!$B$5)</f>
        <v/>
      </c>
      <c r="V123" s="57">
        <f>IF($E123="","",1-$H123-'参数配置'!$D$20-'参数配置'!$B$8-$G123-'参数配置'!$B$10-'参数配置'!$B$11-IF($E123&lt;='参数配置'!$B$7,'参数配置'!$B$6,0))</f>
        <v/>
      </c>
      <c r="W123" s="56">
        <f>IF($E123="","",$I123+$F123+$L123)</f>
        <v/>
      </c>
      <c r="X123" s="56">
        <f>IF($E123="","",IF($V123&gt;0,$W123/$V123,""))</f>
        <v/>
      </c>
      <c r="Y123" s="56">
        <f>IF($E123="","",IF(($V123-'参数配置'!$B$9)&gt;0,$W123/($V123-'参数配置'!$B$9),""))</f>
        <v/>
      </c>
      <c r="Z123" s="37">
        <f>IF($E123="","",IF(OR($C123="禁售",$C123="需资质"),"⛔"&amp;$C123&amp;"·不应进入利润表",IF($V123&lt;=0,"❗贡献率≤0·任何价都亏损",IF($E123&lt;$X123,"⛔低于保本价·亏损",IF($Y123="","⚠️目标不可达·需降本",IF($E123&lt;$Y123,"⚠️低于红线·未达目标利润率","✅达目标利润率"))))))</f>
        <v/>
      </c>
    </row>
    <row r="124">
      <c r="A124" s="52" t="n"/>
      <c r="B124" s="46">
        <f>IFERROR(VLOOKUP($A124,'SKU主表'!$A:$M,2,0),"")</f>
        <v/>
      </c>
      <c r="C124" s="47">
        <f>IFERROR(VLOOKUP($A124,'SKU主表'!$A:$M,9,0),"")</f>
        <v/>
      </c>
      <c r="D124" s="47">
        <f>IFERROR(VLOOKUP($A124,'SKU主表'!$A:$M,5,0),"")</f>
        <v/>
      </c>
      <c r="E124" s="58" t="n"/>
      <c r="F124" s="58" t="n"/>
      <c r="G124" s="59" t="n"/>
      <c r="H124" s="59">
        <f>'参数配置'!$D$22</f>
        <v/>
      </c>
      <c r="I124" s="56">
        <f>IF($D124="","",$D124/'参数配置'!$B$5)</f>
        <v/>
      </c>
      <c r="J124" s="56">
        <f>IF($E124="","",$E124*$H124)</f>
        <v/>
      </c>
      <c r="K124" s="56">
        <f>IF($E124="","",$E124*'参数配置'!$D$20)</f>
        <v/>
      </c>
      <c r="L124" s="56">
        <f>IF($E124="","",'参数配置'!$D$21)</f>
        <v/>
      </c>
      <c r="M124" s="56">
        <f>IF($E124="","",$E124*'参数配置'!$B$8)</f>
        <v/>
      </c>
      <c r="N124" s="56">
        <f>IF($E124="","",IF($E124&lt;='参数配置'!$B$7,$E124*'参数配置'!$B$6,0))</f>
        <v/>
      </c>
      <c r="O124" s="56">
        <f>IF($E124="","",$E124*$G124)</f>
        <v/>
      </c>
      <c r="P124" s="56">
        <f>IF($E124="","",$E124*'参数配置'!$B$10)</f>
        <v/>
      </c>
      <c r="Q124" s="56">
        <f>IF($E124="","",$E124*'参数配置'!$B$11)</f>
        <v/>
      </c>
      <c r="R124" s="56">
        <f>IF($E124="","",$I124+$F124+$J124+$K124+$L124+$M124+$N124+$O124+$P124+$Q124)</f>
        <v/>
      </c>
      <c r="S124" s="56">
        <f>IF($E124="","",$E124-$R124)</f>
        <v/>
      </c>
      <c r="T124" s="57">
        <f>IF(OR($E124="",$E124=0),"",$S124/$E124)</f>
        <v/>
      </c>
      <c r="U124" s="38">
        <f>IF($E124="","",$S124*'参数配置'!$B$5)</f>
        <v/>
      </c>
      <c r="V124" s="57">
        <f>IF($E124="","",1-$H124-'参数配置'!$D$20-'参数配置'!$B$8-$G124-'参数配置'!$B$10-'参数配置'!$B$11-IF($E124&lt;='参数配置'!$B$7,'参数配置'!$B$6,0))</f>
        <v/>
      </c>
      <c r="W124" s="56">
        <f>IF($E124="","",$I124+$F124+$L124)</f>
        <v/>
      </c>
      <c r="X124" s="56">
        <f>IF($E124="","",IF($V124&gt;0,$W124/$V124,""))</f>
        <v/>
      </c>
      <c r="Y124" s="56">
        <f>IF($E124="","",IF(($V124-'参数配置'!$B$9)&gt;0,$W124/($V124-'参数配置'!$B$9),""))</f>
        <v/>
      </c>
      <c r="Z124" s="37">
        <f>IF($E124="","",IF(OR($C124="禁售",$C124="需资质"),"⛔"&amp;$C124&amp;"·不应进入利润表",IF($V124&lt;=0,"❗贡献率≤0·任何价都亏损",IF($E124&lt;$X124,"⛔低于保本价·亏损",IF($Y124="","⚠️目标不可达·需降本",IF($E124&lt;$Y124,"⚠️低于红线·未达目标利润率","✅达目标利润率"))))))</f>
        <v/>
      </c>
    </row>
    <row r="125">
      <c r="A125" s="52" t="n"/>
      <c r="B125" s="46">
        <f>IFERROR(VLOOKUP($A125,'SKU主表'!$A:$M,2,0),"")</f>
        <v/>
      </c>
      <c r="C125" s="47">
        <f>IFERROR(VLOOKUP($A125,'SKU主表'!$A:$M,9,0),"")</f>
        <v/>
      </c>
      <c r="D125" s="47">
        <f>IFERROR(VLOOKUP($A125,'SKU主表'!$A:$M,5,0),"")</f>
        <v/>
      </c>
      <c r="E125" s="58" t="n"/>
      <c r="F125" s="58" t="n"/>
      <c r="G125" s="59" t="n"/>
      <c r="H125" s="59">
        <f>'参数配置'!$D$22</f>
        <v/>
      </c>
      <c r="I125" s="56">
        <f>IF($D125="","",$D125/'参数配置'!$B$5)</f>
        <v/>
      </c>
      <c r="J125" s="56">
        <f>IF($E125="","",$E125*$H125)</f>
        <v/>
      </c>
      <c r="K125" s="56">
        <f>IF($E125="","",$E125*'参数配置'!$D$20)</f>
        <v/>
      </c>
      <c r="L125" s="56">
        <f>IF($E125="","",'参数配置'!$D$21)</f>
        <v/>
      </c>
      <c r="M125" s="56">
        <f>IF($E125="","",$E125*'参数配置'!$B$8)</f>
        <v/>
      </c>
      <c r="N125" s="56">
        <f>IF($E125="","",IF($E125&lt;='参数配置'!$B$7,$E125*'参数配置'!$B$6,0))</f>
        <v/>
      </c>
      <c r="O125" s="56">
        <f>IF($E125="","",$E125*$G125)</f>
        <v/>
      </c>
      <c r="P125" s="56">
        <f>IF($E125="","",$E125*'参数配置'!$B$10)</f>
        <v/>
      </c>
      <c r="Q125" s="56">
        <f>IF($E125="","",$E125*'参数配置'!$B$11)</f>
        <v/>
      </c>
      <c r="R125" s="56">
        <f>IF($E125="","",$I125+$F125+$J125+$K125+$L125+$M125+$N125+$O125+$P125+$Q125)</f>
        <v/>
      </c>
      <c r="S125" s="56">
        <f>IF($E125="","",$E125-$R125)</f>
        <v/>
      </c>
      <c r="T125" s="57">
        <f>IF(OR($E125="",$E125=0),"",$S125/$E125)</f>
        <v/>
      </c>
      <c r="U125" s="38">
        <f>IF($E125="","",$S125*'参数配置'!$B$5)</f>
        <v/>
      </c>
      <c r="V125" s="57">
        <f>IF($E125="","",1-$H125-'参数配置'!$D$20-'参数配置'!$B$8-$G125-'参数配置'!$B$10-'参数配置'!$B$11-IF($E125&lt;='参数配置'!$B$7,'参数配置'!$B$6,0))</f>
        <v/>
      </c>
      <c r="W125" s="56">
        <f>IF($E125="","",$I125+$F125+$L125)</f>
        <v/>
      </c>
      <c r="X125" s="56">
        <f>IF($E125="","",IF($V125&gt;0,$W125/$V125,""))</f>
        <v/>
      </c>
      <c r="Y125" s="56">
        <f>IF($E125="","",IF(($V125-'参数配置'!$B$9)&gt;0,$W125/($V125-'参数配置'!$B$9),""))</f>
        <v/>
      </c>
      <c r="Z125" s="37">
        <f>IF($E125="","",IF(OR($C125="禁售",$C125="需资质"),"⛔"&amp;$C125&amp;"·不应进入利润表",IF($V125&lt;=0,"❗贡献率≤0·任何价都亏损",IF($E125&lt;$X125,"⛔低于保本价·亏损",IF($Y125="","⚠️目标不可达·需降本",IF($E125&lt;$Y125,"⚠️低于红线·未达目标利润率","✅达目标利润率"))))))</f>
        <v/>
      </c>
    </row>
    <row r="126">
      <c r="A126" s="52" t="n"/>
      <c r="B126" s="46">
        <f>IFERROR(VLOOKUP($A126,'SKU主表'!$A:$M,2,0),"")</f>
        <v/>
      </c>
      <c r="C126" s="47">
        <f>IFERROR(VLOOKUP($A126,'SKU主表'!$A:$M,9,0),"")</f>
        <v/>
      </c>
      <c r="D126" s="47">
        <f>IFERROR(VLOOKUP($A126,'SKU主表'!$A:$M,5,0),"")</f>
        <v/>
      </c>
      <c r="E126" s="58" t="n"/>
      <c r="F126" s="58" t="n"/>
      <c r="G126" s="59" t="n"/>
      <c r="H126" s="59">
        <f>'参数配置'!$D$22</f>
        <v/>
      </c>
      <c r="I126" s="56">
        <f>IF($D126="","",$D126/'参数配置'!$B$5)</f>
        <v/>
      </c>
      <c r="J126" s="56">
        <f>IF($E126="","",$E126*$H126)</f>
        <v/>
      </c>
      <c r="K126" s="56">
        <f>IF($E126="","",$E126*'参数配置'!$D$20)</f>
        <v/>
      </c>
      <c r="L126" s="56">
        <f>IF($E126="","",'参数配置'!$D$21)</f>
        <v/>
      </c>
      <c r="M126" s="56">
        <f>IF($E126="","",$E126*'参数配置'!$B$8)</f>
        <v/>
      </c>
      <c r="N126" s="56">
        <f>IF($E126="","",IF($E126&lt;='参数配置'!$B$7,$E126*'参数配置'!$B$6,0))</f>
        <v/>
      </c>
      <c r="O126" s="56">
        <f>IF($E126="","",$E126*$G126)</f>
        <v/>
      </c>
      <c r="P126" s="56">
        <f>IF($E126="","",$E126*'参数配置'!$B$10)</f>
        <v/>
      </c>
      <c r="Q126" s="56">
        <f>IF($E126="","",$E126*'参数配置'!$B$11)</f>
        <v/>
      </c>
      <c r="R126" s="56">
        <f>IF($E126="","",$I126+$F126+$J126+$K126+$L126+$M126+$N126+$O126+$P126+$Q126)</f>
        <v/>
      </c>
      <c r="S126" s="56">
        <f>IF($E126="","",$E126-$R126)</f>
        <v/>
      </c>
      <c r="T126" s="57">
        <f>IF(OR($E126="",$E126=0),"",$S126/$E126)</f>
        <v/>
      </c>
      <c r="U126" s="38">
        <f>IF($E126="","",$S126*'参数配置'!$B$5)</f>
        <v/>
      </c>
      <c r="V126" s="57">
        <f>IF($E126="","",1-$H126-'参数配置'!$D$20-'参数配置'!$B$8-$G126-'参数配置'!$B$10-'参数配置'!$B$11-IF($E126&lt;='参数配置'!$B$7,'参数配置'!$B$6,0))</f>
        <v/>
      </c>
      <c r="W126" s="56">
        <f>IF($E126="","",$I126+$F126+$L126)</f>
        <v/>
      </c>
      <c r="X126" s="56">
        <f>IF($E126="","",IF($V126&gt;0,$W126/$V126,""))</f>
        <v/>
      </c>
      <c r="Y126" s="56">
        <f>IF($E126="","",IF(($V126-'参数配置'!$B$9)&gt;0,$W126/($V126-'参数配置'!$B$9),""))</f>
        <v/>
      </c>
      <c r="Z126" s="37">
        <f>IF($E126="","",IF(OR($C126="禁售",$C126="需资质"),"⛔"&amp;$C126&amp;"·不应进入利润表",IF($V126&lt;=0,"❗贡献率≤0·任何价都亏损",IF($E126&lt;$X126,"⛔低于保本价·亏损",IF($Y126="","⚠️目标不可达·需降本",IF($E126&lt;$Y126,"⚠️低于红线·未达目标利润率","✅达目标利润率"))))))</f>
        <v/>
      </c>
    </row>
    <row r="127">
      <c r="A127" s="52" t="n"/>
      <c r="B127" s="46">
        <f>IFERROR(VLOOKUP($A127,'SKU主表'!$A:$M,2,0),"")</f>
        <v/>
      </c>
      <c r="C127" s="47">
        <f>IFERROR(VLOOKUP($A127,'SKU主表'!$A:$M,9,0),"")</f>
        <v/>
      </c>
      <c r="D127" s="47">
        <f>IFERROR(VLOOKUP($A127,'SKU主表'!$A:$M,5,0),"")</f>
        <v/>
      </c>
      <c r="E127" s="58" t="n"/>
      <c r="F127" s="58" t="n"/>
      <c r="G127" s="59" t="n"/>
      <c r="H127" s="59">
        <f>'参数配置'!$D$22</f>
        <v/>
      </c>
      <c r="I127" s="56">
        <f>IF($D127="","",$D127/'参数配置'!$B$5)</f>
        <v/>
      </c>
      <c r="J127" s="56">
        <f>IF($E127="","",$E127*$H127)</f>
        <v/>
      </c>
      <c r="K127" s="56">
        <f>IF($E127="","",$E127*'参数配置'!$D$20)</f>
        <v/>
      </c>
      <c r="L127" s="56">
        <f>IF($E127="","",'参数配置'!$D$21)</f>
        <v/>
      </c>
      <c r="M127" s="56">
        <f>IF($E127="","",$E127*'参数配置'!$B$8)</f>
        <v/>
      </c>
      <c r="N127" s="56">
        <f>IF($E127="","",IF($E127&lt;='参数配置'!$B$7,$E127*'参数配置'!$B$6,0))</f>
        <v/>
      </c>
      <c r="O127" s="56">
        <f>IF($E127="","",$E127*$G127)</f>
        <v/>
      </c>
      <c r="P127" s="56">
        <f>IF($E127="","",$E127*'参数配置'!$B$10)</f>
        <v/>
      </c>
      <c r="Q127" s="56">
        <f>IF($E127="","",$E127*'参数配置'!$B$11)</f>
        <v/>
      </c>
      <c r="R127" s="56">
        <f>IF($E127="","",$I127+$F127+$J127+$K127+$L127+$M127+$N127+$O127+$P127+$Q127)</f>
        <v/>
      </c>
      <c r="S127" s="56">
        <f>IF($E127="","",$E127-$R127)</f>
        <v/>
      </c>
      <c r="T127" s="57">
        <f>IF(OR($E127="",$E127=0),"",$S127/$E127)</f>
        <v/>
      </c>
      <c r="U127" s="38">
        <f>IF($E127="","",$S127*'参数配置'!$B$5)</f>
        <v/>
      </c>
      <c r="V127" s="57">
        <f>IF($E127="","",1-$H127-'参数配置'!$D$20-'参数配置'!$B$8-$G127-'参数配置'!$B$10-'参数配置'!$B$11-IF($E127&lt;='参数配置'!$B$7,'参数配置'!$B$6,0))</f>
        <v/>
      </c>
      <c r="W127" s="56">
        <f>IF($E127="","",$I127+$F127+$L127)</f>
        <v/>
      </c>
      <c r="X127" s="56">
        <f>IF($E127="","",IF($V127&gt;0,$W127/$V127,""))</f>
        <v/>
      </c>
      <c r="Y127" s="56">
        <f>IF($E127="","",IF(($V127-'参数配置'!$B$9)&gt;0,$W127/($V127-'参数配置'!$B$9),""))</f>
        <v/>
      </c>
      <c r="Z127" s="37">
        <f>IF($E127="","",IF(OR($C127="禁售",$C127="需资质"),"⛔"&amp;$C127&amp;"·不应进入利润表",IF($V127&lt;=0,"❗贡献率≤0·任何价都亏损",IF($E127&lt;$X127,"⛔低于保本价·亏损",IF($Y127="","⚠️目标不可达·需降本",IF($E127&lt;$Y127,"⚠️低于红线·未达目标利润率","✅达目标利润率"))))))</f>
        <v/>
      </c>
    </row>
    <row r="128">
      <c r="A128" s="52" t="n"/>
      <c r="B128" s="46">
        <f>IFERROR(VLOOKUP($A128,'SKU主表'!$A:$M,2,0),"")</f>
        <v/>
      </c>
      <c r="C128" s="47">
        <f>IFERROR(VLOOKUP($A128,'SKU主表'!$A:$M,9,0),"")</f>
        <v/>
      </c>
      <c r="D128" s="47">
        <f>IFERROR(VLOOKUP($A128,'SKU主表'!$A:$M,5,0),"")</f>
        <v/>
      </c>
      <c r="E128" s="58" t="n"/>
      <c r="F128" s="58" t="n"/>
      <c r="G128" s="59" t="n"/>
      <c r="H128" s="59">
        <f>'参数配置'!$D$22</f>
        <v/>
      </c>
      <c r="I128" s="56">
        <f>IF($D128="","",$D128/'参数配置'!$B$5)</f>
        <v/>
      </c>
      <c r="J128" s="56">
        <f>IF($E128="","",$E128*$H128)</f>
        <v/>
      </c>
      <c r="K128" s="56">
        <f>IF($E128="","",$E128*'参数配置'!$D$20)</f>
        <v/>
      </c>
      <c r="L128" s="56">
        <f>IF($E128="","",'参数配置'!$D$21)</f>
        <v/>
      </c>
      <c r="M128" s="56">
        <f>IF($E128="","",$E128*'参数配置'!$B$8)</f>
        <v/>
      </c>
      <c r="N128" s="56">
        <f>IF($E128="","",IF($E128&lt;='参数配置'!$B$7,$E128*'参数配置'!$B$6,0))</f>
        <v/>
      </c>
      <c r="O128" s="56">
        <f>IF($E128="","",$E128*$G128)</f>
        <v/>
      </c>
      <c r="P128" s="56">
        <f>IF($E128="","",$E128*'参数配置'!$B$10)</f>
        <v/>
      </c>
      <c r="Q128" s="56">
        <f>IF($E128="","",$E128*'参数配置'!$B$11)</f>
        <v/>
      </c>
      <c r="R128" s="56">
        <f>IF($E128="","",$I128+$F128+$J128+$K128+$L128+$M128+$N128+$O128+$P128+$Q128)</f>
        <v/>
      </c>
      <c r="S128" s="56">
        <f>IF($E128="","",$E128-$R128)</f>
        <v/>
      </c>
      <c r="T128" s="57">
        <f>IF(OR($E128="",$E128=0),"",$S128/$E128)</f>
        <v/>
      </c>
      <c r="U128" s="38">
        <f>IF($E128="","",$S128*'参数配置'!$B$5)</f>
        <v/>
      </c>
      <c r="V128" s="57">
        <f>IF($E128="","",1-$H128-'参数配置'!$D$20-'参数配置'!$B$8-$G128-'参数配置'!$B$10-'参数配置'!$B$11-IF($E128&lt;='参数配置'!$B$7,'参数配置'!$B$6,0))</f>
        <v/>
      </c>
      <c r="W128" s="56">
        <f>IF($E128="","",$I128+$F128+$L128)</f>
        <v/>
      </c>
      <c r="X128" s="56">
        <f>IF($E128="","",IF($V128&gt;0,$W128/$V128,""))</f>
        <v/>
      </c>
      <c r="Y128" s="56">
        <f>IF($E128="","",IF(($V128-'参数配置'!$B$9)&gt;0,$W128/($V128-'参数配置'!$B$9),""))</f>
        <v/>
      </c>
      <c r="Z128" s="37">
        <f>IF($E128="","",IF(OR($C128="禁售",$C128="需资质"),"⛔"&amp;$C128&amp;"·不应进入利润表",IF($V128&lt;=0,"❗贡献率≤0·任何价都亏损",IF($E128&lt;$X128,"⛔低于保本价·亏损",IF($Y128="","⚠️目标不可达·需降本",IF($E128&lt;$Y128,"⚠️低于红线·未达目标利润率","✅达目标利润率"))))))</f>
        <v/>
      </c>
    </row>
    <row r="129">
      <c r="A129" s="52" t="n"/>
      <c r="B129" s="46">
        <f>IFERROR(VLOOKUP($A129,'SKU主表'!$A:$M,2,0),"")</f>
        <v/>
      </c>
      <c r="C129" s="47">
        <f>IFERROR(VLOOKUP($A129,'SKU主表'!$A:$M,9,0),"")</f>
        <v/>
      </c>
      <c r="D129" s="47">
        <f>IFERROR(VLOOKUP($A129,'SKU主表'!$A:$M,5,0),"")</f>
        <v/>
      </c>
      <c r="E129" s="58" t="n"/>
      <c r="F129" s="58" t="n"/>
      <c r="G129" s="59" t="n"/>
      <c r="H129" s="59">
        <f>'参数配置'!$D$22</f>
        <v/>
      </c>
      <c r="I129" s="56">
        <f>IF($D129="","",$D129/'参数配置'!$B$5)</f>
        <v/>
      </c>
      <c r="J129" s="56">
        <f>IF($E129="","",$E129*$H129)</f>
        <v/>
      </c>
      <c r="K129" s="56">
        <f>IF($E129="","",$E129*'参数配置'!$D$20)</f>
        <v/>
      </c>
      <c r="L129" s="56">
        <f>IF($E129="","",'参数配置'!$D$21)</f>
        <v/>
      </c>
      <c r="M129" s="56">
        <f>IF($E129="","",$E129*'参数配置'!$B$8)</f>
        <v/>
      </c>
      <c r="N129" s="56">
        <f>IF($E129="","",IF($E129&lt;='参数配置'!$B$7,$E129*'参数配置'!$B$6,0))</f>
        <v/>
      </c>
      <c r="O129" s="56">
        <f>IF($E129="","",$E129*$G129)</f>
        <v/>
      </c>
      <c r="P129" s="56">
        <f>IF($E129="","",$E129*'参数配置'!$B$10)</f>
        <v/>
      </c>
      <c r="Q129" s="56">
        <f>IF($E129="","",$E129*'参数配置'!$B$11)</f>
        <v/>
      </c>
      <c r="R129" s="56">
        <f>IF($E129="","",$I129+$F129+$J129+$K129+$L129+$M129+$N129+$O129+$P129+$Q129)</f>
        <v/>
      </c>
      <c r="S129" s="56">
        <f>IF($E129="","",$E129-$R129)</f>
        <v/>
      </c>
      <c r="T129" s="57">
        <f>IF(OR($E129="",$E129=0),"",$S129/$E129)</f>
        <v/>
      </c>
      <c r="U129" s="38">
        <f>IF($E129="","",$S129*'参数配置'!$B$5)</f>
        <v/>
      </c>
      <c r="V129" s="57">
        <f>IF($E129="","",1-$H129-'参数配置'!$D$20-'参数配置'!$B$8-$G129-'参数配置'!$B$10-'参数配置'!$B$11-IF($E129&lt;='参数配置'!$B$7,'参数配置'!$B$6,0))</f>
        <v/>
      </c>
      <c r="W129" s="56">
        <f>IF($E129="","",$I129+$F129+$L129)</f>
        <v/>
      </c>
      <c r="X129" s="56">
        <f>IF($E129="","",IF($V129&gt;0,$W129/$V129,""))</f>
        <v/>
      </c>
      <c r="Y129" s="56">
        <f>IF($E129="","",IF(($V129-'参数配置'!$B$9)&gt;0,$W129/($V129-'参数配置'!$B$9),""))</f>
        <v/>
      </c>
      <c r="Z129" s="37">
        <f>IF($E129="","",IF(OR($C129="禁售",$C129="需资质"),"⛔"&amp;$C129&amp;"·不应进入利润表",IF($V129&lt;=0,"❗贡献率≤0·任何价都亏损",IF($E129&lt;$X129,"⛔低于保本价·亏损",IF($Y129="","⚠️目标不可达·需降本",IF($E129&lt;$Y129,"⚠️低于红线·未达目标利润率","✅达目标利润率"))))))</f>
        <v/>
      </c>
    </row>
    <row r="130">
      <c r="A130" s="52" t="n"/>
      <c r="B130" s="46">
        <f>IFERROR(VLOOKUP($A130,'SKU主表'!$A:$M,2,0),"")</f>
        <v/>
      </c>
      <c r="C130" s="47">
        <f>IFERROR(VLOOKUP($A130,'SKU主表'!$A:$M,9,0),"")</f>
        <v/>
      </c>
      <c r="D130" s="47">
        <f>IFERROR(VLOOKUP($A130,'SKU主表'!$A:$M,5,0),"")</f>
        <v/>
      </c>
      <c r="E130" s="58" t="n"/>
      <c r="F130" s="58" t="n"/>
      <c r="G130" s="59" t="n"/>
      <c r="H130" s="59">
        <f>'参数配置'!$D$22</f>
        <v/>
      </c>
      <c r="I130" s="56">
        <f>IF($D130="","",$D130/'参数配置'!$B$5)</f>
        <v/>
      </c>
      <c r="J130" s="56">
        <f>IF($E130="","",$E130*$H130)</f>
        <v/>
      </c>
      <c r="K130" s="56">
        <f>IF($E130="","",$E130*'参数配置'!$D$20)</f>
        <v/>
      </c>
      <c r="L130" s="56">
        <f>IF($E130="","",'参数配置'!$D$21)</f>
        <v/>
      </c>
      <c r="M130" s="56">
        <f>IF($E130="","",$E130*'参数配置'!$B$8)</f>
        <v/>
      </c>
      <c r="N130" s="56">
        <f>IF($E130="","",IF($E130&lt;='参数配置'!$B$7,$E130*'参数配置'!$B$6,0))</f>
        <v/>
      </c>
      <c r="O130" s="56">
        <f>IF($E130="","",$E130*$G130)</f>
        <v/>
      </c>
      <c r="P130" s="56">
        <f>IF($E130="","",$E130*'参数配置'!$B$10)</f>
        <v/>
      </c>
      <c r="Q130" s="56">
        <f>IF($E130="","",$E130*'参数配置'!$B$11)</f>
        <v/>
      </c>
      <c r="R130" s="56">
        <f>IF($E130="","",$I130+$F130+$J130+$K130+$L130+$M130+$N130+$O130+$P130+$Q130)</f>
        <v/>
      </c>
      <c r="S130" s="56">
        <f>IF($E130="","",$E130-$R130)</f>
        <v/>
      </c>
      <c r="T130" s="57">
        <f>IF(OR($E130="",$E130=0),"",$S130/$E130)</f>
        <v/>
      </c>
      <c r="U130" s="38">
        <f>IF($E130="","",$S130*'参数配置'!$B$5)</f>
        <v/>
      </c>
      <c r="V130" s="57">
        <f>IF($E130="","",1-$H130-'参数配置'!$D$20-'参数配置'!$B$8-$G130-'参数配置'!$B$10-'参数配置'!$B$11-IF($E130&lt;='参数配置'!$B$7,'参数配置'!$B$6,0))</f>
        <v/>
      </c>
      <c r="W130" s="56">
        <f>IF($E130="","",$I130+$F130+$L130)</f>
        <v/>
      </c>
      <c r="X130" s="56">
        <f>IF($E130="","",IF($V130&gt;0,$W130/$V130,""))</f>
        <v/>
      </c>
      <c r="Y130" s="56">
        <f>IF($E130="","",IF(($V130-'参数配置'!$B$9)&gt;0,$W130/($V130-'参数配置'!$B$9),""))</f>
        <v/>
      </c>
      <c r="Z130" s="37">
        <f>IF($E130="","",IF(OR($C130="禁售",$C130="需资质"),"⛔"&amp;$C130&amp;"·不应进入利润表",IF($V130&lt;=0,"❗贡献率≤0·任何价都亏损",IF($E130&lt;$X130,"⛔低于保本价·亏损",IF($Y130="","⚠️目标不可达·需降本",IF($E130&lt;$Y130,"⚠️低于红线·未达目标利润率","✅达目标利润率"))))))</f>
        <v/>
      </c>
    </row>
    <row r="131">
      <c r="A131" s="52" t="n"/>
      <c r="B131" s="46">
        <f>IFERROR(VLOOKUP($A131,'SKU主表'!$A:$M,2,0),"")</f>
        <v/>
      </c>
      <c r="C131" s="47">
        <f>IFERROR(VLOOKUP($A131,'SKU主表'!$A:$M,9,0),"")</f>
        <v/>
      </c>
      <c r="D131" s="47">
        <f>IFERROR(VLOOKUP($A131,'SKU主表'!$A:$M,5,0),"")</f>
        <v/>
      </c>
      <c r="E131" s="58" t="n"/>
      <c r="F131" s="58" t="n"/>
      <c r="G131" s="59" t="n"/>
      <c r="H131" s="59">
        <f>'参数配置'!$D$22</f>
        <v/>
      </c>
      <c r="I131" s="56">
        <f>IF($D131="","",$D131/'参数配置'!$B$5)</f>
        <v/>
      </c>
      <c r="J131" s="56">
        <f>IF($E131="","",$E131*$H131)</f>
        <v/>
      </c>
      <c r="K131" s="56">
        <f>IF($E131="","",$E131*'参数配置'!$D$20)</f>
        <v/>
      </c>
      <c r="L131" s="56">
        <f>IF($E131="","",'参数配置'!$D$21)</f>
        <v/>
      </c>
      <c r="M131" s="56">
        <f>IF($E131="","",$E131*'参数配置'!$B$8)</f>
        <v/>
      </c>
      <c r="N131" s="56">
        <f>IF($E131="","",IF($E131&lt;='参数配置'!$B$7,$E131*'参数配置'!$B$6,0))</f>
        <v/>
      </c>
      <c r="O131" s="56">
        <f>IF($E131="","",$E131*$G131)</f>
        <v/>
      </c>
      <c r="P131" s="56">
        <f>IF($E131="","",$E131*'参数配置'!$B$10)</f>
        <v/>
      </c>
      <c r="Q131" s="56">
        <f>IF($E131="","",$E131*'参数配置'!$B$11)</f>
        <v/>
      </c>
      <c r="R131" s="56">
        <f>IF($E131="","",$I131+$F131+$J131+$K131+$L131+$M131+$N131+$O131+$P131+$Q131)</f>
        <v/>
      </c>
      <c r="S131" s="56">
        <f>IF($E131="","",$E131-$R131)</f>
        <v/>
      </c>
      <c r="T131" s="57">
        <f>IF(OR($E131="",$E131=0),"",$S131/$E131)</f>
        <v/>
      </c>
      <c r="U131" s="38">
        <f>IF($E131="","",$S131*'参数配置'!$B$5)</f>
        <v/>
      </c>
      <c r="V131" s="57">
        <f>IF($E131="","",1-$H131-'参数配置'!$D$20-'参数配置'!$B$8-$G131-'参数配置'!$B$10-'参数配置'!$B$11-IF($E131&lt;='参数配置'!$B$7,'参数配置'!$B$6,0))</f>
        <v/>
      </c>
      <c r="W131" s="56">
        <f>IF($E131="","",$I131+$F131+$L131)</f>
        <v/>
      </c>
      <c r="X131" s="56">
        <f>IF($E131="","",IF($V131&gt;0,$W131/$V131,""))</f>
        <v/>
      </c>
      <c r="Y131" s="56">
        <f>IF($E131="","",IF(($V131-'参数配置'!$B$9)&gt;0,$W131/($V131-'参数配置'!$B$9),""))</f>
        <v/>
      </c>
      <c r="Z131" s="37">
        <f>IF($E131="","",IF(OR($C131="禁售",$C131="需资质"),"⛔"&amp;$C131&amp;"·不应进入利润表",IF($V131&lt;=0,"❗贡献率≤0·任何价都亏损",IF($E131&lt;$X131,"⛔低于保本价·亏损",IF($Y131="","⚠️目标不可达·需降本",IF($E131&lt;$Y131,"⚠️低于红线·未达目标利润率","✅达目标利润率"))))))</f>
        <v/>
      </c>
    </row>
    <row r="132">
      <c r="A132" s="52" t="n"/>
      <c r="B132" s="46">
        <f>IFERROR(VLOOKUP($A132,'SKU主表'!$A:$M,2,0),"")</f>
        <v/>
      </c>
      <c r="C132" s="47">
        <f>IFERROR(VLOOKUP($A132,'SKU主表'!$A:$M,9,0),"")</f>
        <v/>
      </c>
      <c r="D132" s="47">
        <f>IFERROR(VLOOKUP($A132,'SKU主表'!$A:$M,5,0),"")</f>
        <v/>
      </c>
      <c r="E132" s="58" t="n"/>
      <c r="F132" s="58" t="n"/>
      <c r="G132" s="59" t="n"/>
      <c r="H132" s="59">
        <f>'参数配置'!$D$22</f>
        <v/>
      </c>
      <c r="I132" s="56">
        <f>IF($D132="","",$D132/'参数配置'!$B$5)</f>
        <v/>
      </c>
      <c r="J132" s="56">
        <f>IF($E132="","",$E132*$H132)</f>
        <v/>
      </c>
      <c r="K132" s="56">
        <f>IF($E132="","",$E132*'参数配置'!$D$20)</f>
        <v/>
      </c>
      <c r="L132" s="56">
        <f>IF($E132="","",'参数配置'!$D$21)</f>
        <v/>
      </c>
      <c r="M132" s="56">
        <f>IF($E132="","",$E132*'参数配置'!$B$8)</f>
        <v/>
      </c>
      <c r="N132" s="56">
        <f>IF($E132="","",IF($E132&lt;='参数配置'!$B$7,$E132*'参数配置'!$B$6,0))</f>
        <v/>
      </c>
      <c r="O132" s="56">
        <f>IF($E132="","",$E132*$G132)</f>
        <v/>
      </c>
      <c r="P132" s="56">
        <f>IF($E132="","",$E132*'参数配置'!$B$10)</f>
        <v/>
      </c>
      <c r="Q132" s="56">
        <f>IF($E132="","",$E132*'参数配置'!$B$11)</f>
        <v/>
      </c>
      <c r="R132" s="56">
        <f>IF($E132="","",$I132+$F132+$J132+$K132+$L132+$M132+$N132+$O132+$P132+$Q132)</f>
        <v/>
      </c>
      <c r="S132" s="56">
        <f>IF($E132="","",$E132-$R132)</f>
        <v/>
      </c>
      <c r="T132" s="57">
        <f>IF(OR($E132="",$E132=0),"",$S132/$E132)</f>
        <v/>
      </c>
      <c r="U132" s="38">
        <f>IF($E132="","",$S132*'参数配置'!$B$5)</f>
        <v/>
      </c>
      <c r="V132" s="57">
        <f>IF($E132="","",1-$H132-'参数配置'!$D$20-'参数配置'!$B$8-$G132-'参数配置'!$B$10-'参数配置'!$B$11-IF($E132&lt;='参数配置'!$B$7,'参数配置'!$B$6,0))</f>
        <v/>
      </c>
      <c r="W132" s="56">
        <f>IF($E132="","",$I132+$F132+$L132)</f>
        <v/>
      </c>
      <c r="X132" s="56">
        <f>IF($E132="","",IF($V132&gt;0,$W132/$V132,""))</f>
        <v/>
      </c>
      <c r="Y132" s="56">
        <f>IF($E132="","",IF(($V132-'参数配置'!$B$9)&gt;0,$W132/($V132-'参数配置'!$B$9),""))</f>
        <v/>
      </c>
      <c r="Z132" s="37">
        <f>IF($E132="","",IF(OR($C132="禁售",$C132="需资质"),"⛔"&amp;$C132&amp;"·不应进入利润表",IF($V132&lt;=0,"❗贡献率≤0·任何价都亏损",IF($E132&lt;$X132,"⛔低于保本价·亏损",IF($Y132="","⚠️目标不可达·需降本",IF($E132&lt;$Y132,"⚠️低于红线·未达目标利润率","✅达目标利润率"))))))</f>
        <v/>
      </c>
    </row>
    <row r="133">
      <c r="A133" s="52" t="n"/>
      <c r="B133" s="46">
        <f>IFERROR(VLOOKUP($A133,'SKU主表'!$A:$M,2,0),"")</f>
        <v/>
      </c>
      <c r="C133" s="47">
        <f>IFERROR(VLOOKUP($A133,'SKU主表'!$A:$M,9,0),"")</f>
        <v/>
      </c>
      <c r="D133" s="47">
        <f>IFERROR(VLOOKUP($A133,'SKU主表'!$A:$M,5,0),"")</f>
        <v/>
      </c>
      <c r="E133" s="58" t="n"/>
      <c r="F133" s="58" t="n"/>
      <c r="G133" s="59" t="n"/>
      <c r="H133" s="59">
        <f>'参数配置'!$D$22</f>
        <v/>
      </c>
      <c r="I133" s="56">
        <f>IF($D133="","",$D133/'参数配置'!$B$5)</f>
        <v/>
      </c>
      <c r="J133" s="56">
        <f>IF($E133="","",$E133*$H133)</f>
        <v/>
      </c>
      <c r="K133" s="56">
        <f>IF($E133="","",$E133*'参数配置'!$D$20)</f>
        <v/>
      </c>
      <c r="L133" s="56">
        <f>IF($E133="","",'参数配置'!$D$21)</f>
        <v/>
      </c>
      <c r="M133" s="56">
        <f>IF($E133="","",$E133*'参数配置'!$B$8)</f>
        <v/>
      </c>
      <c r="N133" s="56">
        <f>IF($E133="","",IF($E133&lt;='参数配置'!$B$7,$E133*'参数配置'!$B$6,0))</f>
        <v/>
      </c>
      <c r="O133" s="56">
        <f>IF($E133="","",$E133*$G133)</f>
        <v/>
      </c>
      <c r="P133" s="56">
        <f>IF($E133="","",$E133*'参数配置'!$B$10)</f>
        <v/>
      </c>
      <c r="Q133" s="56">
        <f>IF($E133="","",$E133*'参数配置'!$B$11)</f>
        <v/>
      </c>
      <c r="R133" s="56">
        <f>IF($E133="","",$I133+$F133+$J133+$K133+$L133+$M133+$N133+$O133+$P133+$Q133)</f>
        <v/>
      </c>
      <c r="S133" s="56">
        <f>IF($E133="","",$E133-$R133)</f>
        <v/>
      </c>
      <c r="T133" s="57">
        <f>IF(OR($E133="",$E133=0),"",$S133/$E133)</f>
        <v/>
      </c>
      <c r="U133" s="38">
        <f>IF($E133="","",$S133*'参数配置'!$B$5)</f>
        <v/>
      </c>
      <c r="V133" s="57">
        <f>IF($E133="","",1-$H133-'参数配置'!$D$20-'参数配置'!$B$8-$G133-'参数配置'!$B$10-'参数配置'!$B$11-IF($E133&lt;='参数配置'!$B$7,'参数配置'!$B$6,0))</f>
        <v/>
      </c>
      <c r="W133" s="56">
        <f>IF($E133="","",$I133+$F133+$L133)</f>
        <v/>
      </c>
      <c r="X133" s="56">
        <f>IF($E133="","",IF($V133&gt;0,$W133/$V133,""))</f>
        <v/>
      </c>
      <c r="Y133" s="56">
        <f>IF($E133="","",IF(($V133-'参数配置'!$B$9)&gt;0,$W133/($V133-'参数配置'!$B$9),""))</f>
        <v/>
      </c>
      <c r="Z133" s="37">
        <f>IF($E133="","",IF(OR($C133="禁售",$C133="需资质"),"⛔"&amp;$C133&amp;"·不应进入利润表",IF($V133&lt;=0,"❗贡献率≤0·任何价都亏损",IF($E133&lt;$X133,"⛔低于保本价·亏损",IF($Y133="","⚠️目标不可达·需降本",IF($E133&lt;$Y133,"⚠️低于红线·未达目标利润率","✅达目标利润率"))))))</f>
        <v/>
      </c>
    </row>
    <row r="134">
      <c r="A134" s="52" t="n"/>
      <c r="B134" s="46">
        <f>IFERROR(VLOOKUP($A134,'SKU主表'!$A:$M,2,0),"")</f>
        <v/>
      </c>
      <c r="C134" s="47">
        <f>IFERROR(VLOOKUP($A134,'SKU主表'!$A:$M,9,0),"")</f>
        <v/>
      </c>
      <c r="D134" s="47">
        <f>IFERROR(VLOOKUP($A134,'SKU主表'!$A:$M,5,0),"")</f>
        <v/>
      </c>
      <c r="E134" s="58" t="n"/>
      <c r="F134" s="58" t="n"/>
      <c r="G134" s="59" t="n"/>
      <c r="H134" s="59">
        <f>'参数配置'!$D$22</f>
        <v/>
      </c>
      <c r="I134" s="56">
        <f>IF($D134="","",$D134/'参数配置'!$B$5)</f>
        <v/>
      </c>
      <c r="J134" s="56">
        <f>IF($E134="","",$E134*$H134)</f>
        <v/>
      </c>
      <c r="K134" s="56">
        <f>IF($E134="","",$E134*'参数配置'!$D$20)</f>
        <v/>
      </c>
      <c r="L134" s="56">
        <f>IF($E134="","",'参数配置'!$D$21)</f>
        <v/>
      </c>
      <c r="M134" s="56">
        <f>IF($E134="","",$E134*'参数配置'!$B$8)</f>
        <v/>
      </c>
      <c r="N134" s="56">
        <f>IF($E134="","",IF($E134&lt;='参数配置'!$B$7,$E134*'参数配置'!$B$6,0))</f>
        <v/>
      </c>
      <c r="O134" s="56">
        <f>IF($E134="","",$E134*$G134)</f>
        <v/>
      </c>
      <c r="P134" s="56">
        <f>IF($E134="","",$E134*'参数配置'!$B$10)</f>
        <v/>
      </c>
      <c r="Q134" s="56">
        <f>IF($E134="","",$E134*'参数配置'!$B$11)</f>
        <v/>
      </c>
      <c r="R134" s="56">
        <f>IF($E134="","",$I134+$F134+$J134+$K134+$L134+$M134+$N134+$O134+$P134+$Q134)</f>
        <v/>
      </c>
      <c r="S134" s="56">
        <f>IF($E134="","",$E134-$R134)</f>
        <v/>
      </c>
      <c r="T134" s="57">
        <f>IF(OR($E134="",$E134=0),"",$S134/$E134)</f>
        <v/>
      </c>
      <c r="U134" s="38">
        <f>IF($E134="","",$S134*'参数配置'!$B$5)</f>
        <v/>
      </c>
      <c r="V134" s="57">
        <f>IF($E134="","",1-$H134-'参数配置'!$D$20-'参数配置'!$B$8-$G134-'参数配置'!$B$10-'参数配置'!$B$11-IF($E134&lt;='参数配置'!$B$7,'参数配置'!$B$6,0))</f>
        <v/>
      </c>
      <c r="W134" s="56">
        <f>IF($E134="","",$I134+$F134+$L134)</f>
        <v/>
      </c>
      <c r="X134" s="56">
        <f>IF($E134="","",IF($V134&gt;0,$W134/$V134,""))</f>
        <v/>
      </c>
      <c r="Y134" s="56">
        <f>IF($E134="","",IF(($V134-'参数配置'!$B$9)&gt;0,$W134/($V134-'参数配置'!$B$9),""))</f>
        <v/>
      </c>
      <c r="Z134" s="37">
        <f>IF($E134="","",IF(OR($C134="禁售",$C134="需资质"),"⛔"&amp;$C134&amp;"·不应进入利润表",IF($V134&lt;=0,"❗贡献率≤0·任何价都亏损",IF($E134&lt;$X134,"⛔低于保本价·亏损",IF($Y134="","⚠️目标不可达·需降本",IF($E134&lt;$Y134,"⚠️低于红线·未达目标利润率","✅达目标利润率"))))))</f>
        <v/>
      </c>
    </row>
    <row r="135">
      <c r="A135" s="52" t="n"/>
      <c r="B135" s="46">
        <f>IFERROR(VLOOKUP($A135,'SKU主表'!$A:$M,2,0),"")</f>
        <v/>
      </c>
      <c r="C135" s="47">
        <f>IFERROR(VLOOKUP($A135,'SKU主表'!$A:$M,9,0),"")</f>
        <v/>
      </c>
      <c r="D135" s="47">
        <f>IFERROR(VLOOKUP($A135,'SKU主表'!$A:$M,5,0),"")</f>
        <v/>
      </c>
      <c r="E135" s="58" t="n"/>
      <c r="F135" s="58" t="n"/>
      <c r="G135" s="59" t="n"/>
      <c r="H135" s="59">
        <f>'参数配置'!$D$22</f>
        <v/>
      </c>
      <c r="I135" s="56">
        <f>IF($D135="","",$D135/'参数配置'!$B$5)</f>
        <v/>
      </c>
      <c r="J135" s="56">
        <f>IF($E135="","",$E135*$H135)</f>
        <v/>
      </c>
      <c r="K135" s="56">
        <f>IF($E135="","",$E135*'参数配置'!$D$20)</f>
        <v/>
      </c>
      <c r="L135" s="56">
        <f>IF($E135="","",'参数配置'!$D$21)</f>
        <v/>
      </c>
      <c r="M135" s="56">
        <f>IF($E135="","",$E135*'参数配置'!$B$8)</f>
        <v/>
      </c>
      <c r="N135" s="56">
        <f>IF($E135="","",IF($E135&lt;='参数配置'!$B$7,$E135*'参数配置'!$B$6,0))</f>
        <v/>
      </c>
      <c r="O135" s="56">
        <f>IF($E135="","",$E135*$G135)</f>
        <v/>
      </c>
      <c r="P135" s="56">
        <f>IF($E135="","",$E135*'参数配置'!$B$10)</f>
        <v/>
      </c>
      <c r="Q135" s="56">
        <f>IF($E135="","",$E135*'参数配置'!$B$11)</f>
        <v/>
      </c>
      <c r="R135" s="56">
        <f>IF($E135="","",$I135+$F135+$J135+$K135+$L135+$M135+$N135+$O135+$P135+$Q135)</f>
        <v/>
      </c>
      <c r="S135" s="56">
        <f>IF($E135="","",$E135-$R135)</f>
        <v/>
      </c>
      <c r="T135" s="57">
        <f>IF(OR($E135="",$E135=0),"",$S135/$E135)</f>
        <v/>
      </c>
      <c r="U135" s="38">
        <f>IF($E135="","",$S135*'参数配置'!$B$5)</f>
        <v/>
      </c>
      <c r="V135" s="57">
        <f>IF($E135="","",1-$H135-'参数配置'!$D$20-'参数配置'!$B$8-$G135-'参数配置'!$B$10-'参数配置'!$B$11-IF($E135&lt;='参数配置'!$B$7,'参数配置'!$B$6,0))</f>
        <v/>
      </c>
      <c r="W135" s="56">
        <f>IF($E135="","",$I135+$F135+$L135)</f>
        <v/>
      </c>
      <c r="X135" s="56">
        <f>IF($E135="","",IF($V135&gt;0,$W135/$V135,""))</f>
        <v/>
      </c>
      <c r="Y135" s="56">
        <f>IF($E135="","",IF(($V135-'参数配置'!$B$9)&gt;0,$W135/($V135-'参数配置'!$B$9),""))</f>
        <v/>
      </c>
      <c r="Z135" s="37">
        <f>IF($E135="","",IF(OR($C135="禁售",$C135="需资质"),"⛔"&amp;$C135&amp;"·不应进入利润表",IF($V135&lt;=0,"❗贡献率≤0·任何价都亏损",IF($E135&lt;$X135,"⛔低于保本价·亏损",IF($Y135="","⚠️目标不可达·需降本",IF($E135&lt;$Y135,"⚠️低于红线·未达目标利润率","✅达目标利润率"))))))</f>
        <v/>
      </c>
    </row>
    <row r="136">
      <c r="A136" s="52" t="n"/>
      <c r="B136" s="46">
        <f>IFERROR(VLOOKUP($A136,'SKU主表'!$A:$M,2,0),"")</f>
        <v/>
      </c>
      <c r="C136" s="47">
        <f>IFERROR(VLOOKUP($A136,'SKU主表'!$A:$M,9,0),"")</f>
        <v/>
      </c>
      <c r="D136" s="47">
        <f>IFERROR(VLOOKUP($A136,'SKU主表'!$A:$M,5,0),"")</f>
        <v/>
      </c>
      <c r="E136" s="58" t="n"/>
      <c r="F136" s="58" t="n"/>
      <c r="G136" s="59" t="n"/>
      <c r="H136" s="59">
        <f>'参数配置'!$D$22</f>
        <v/>
      </c>
      <c r="I136" s="56">
        <f>IF($D136="","",$D136/'参数配置'!$B$5)</f>
        <v/>
      </c>
      <c r="J136" s="56">
        <f>IF($E136="","",$E136*$H136)</f>
        <v/>
      </c>
      <c r="K136" s="56">
        <f>IF($E136="","",$E136*'参数配置'!$D$20)</f>
        <v/>
      </c>
      <c r="L136" s="56">
        <f>IF($E136="","",'参数配置'!$D$21)</f>
        <v/>
      </c>
      <c r="M136" s="56">
        <f>IF($E136="","",$E136*'参数配置'!$B$8)</f>
        <v/>
      </c>
      <c r="N136" s="56">
        <f>IF($E136="","",IF($E136&lt;='参数配置'!$B$7,$E136*'参数配置'!$B$6,0))</f>
        <v/>
      </c>
      <c r="O136" s="56">
        <f>IF($E136="","",$E136*$G136)</f>
        <v/>
      </c>
      <c r="P136" s="56">
        <f>IF($E136="","",$E136*'参数配置'!$B$10)</f>
        <v/>
      </c>
      <c r="Q136" s="56">
        <f>IF($E136="","",$E136*'参数配置'!$B$11)</f>
        <v/>
      </c>
      <c r="R136" s="56">
        <f>IF($E136="","",$I136+$F136+$J136+$K136+$L136+$M136+$N136+$O136+$P136+$Q136)</f>
        <v/>
      </c>
      <c r="S136" s="56">
        <f>IF($E136="","",$E136-$R136)</f>
        <v/>
      </c>
      <c r="T136" s="57">
        <f>IF(OR($E136="",$E136=0),"",$S136/$E136)</f>
        <v/>
      </c>
      <c r="U136" s="38">
        <f>IF($E136="","",$S136*'参数配置'!$B$5)</f>
        <v/>
      </c>
      <c r="V136" s="57">
        <f>IF($E136="","",1-$H136-'参数配置'!$D$20-'参数配置'!$B$8-$G136-'参数配置'!$B$10-'参数配置'!$B$11-IF($E136&lt;='参数配置'!$B$7,'参数配置'!$B$6,0))</f>
        <v/>
      </c>
      <c r="W136" s="56">
        <f>IF($E136="","",$I136+$F136+$L136)</f>
        <v/>
      </c>
      <c r="X136" s="56">
        <f>IF($E136="","",IF($V136&gt;0,$W136/$V136,""))</f>
        <v/>
      </c>
      <c r="Y136" s="56">
        <f>IF($E136="","",IF(($V136-'参数配置'!$B$9)&gt;0,$W136/($V136-'参数配置'!$B$9),""))</f>
        <v/>
      </c>
      <c r="Z136" s="37">
        <f>IF($E136="","",IF(OR($C136="禁售",$C136="需资质"),"⛔"&amp;$C136&amp;"·不应进入利润表",IF($V136&lt;=0,"❗贡献率≤0·任何价都亏损",IF($E136&lt;$X136,"⛔低于保本价·亏损",IF($Y136="","⚠️目标不可达·需降本",IF($E136&lt;$Y136,"⚠️低于红线·未达目标利润率","✅达目标利润率"))))))</f>
        <v/>
      </c>
    </row>
    <row r="137">
      <c r="A137" s="52" t="n"/>
      <c r="B137" s="46">
        <f>IFERROR(VLOOKUP($A137,'SKU主表'!$A:$M,2,0),"")</f>
        <v/>
      </c>
      <c r="C137" s="47">
        <f>IFERROR(VLOOKUP($A137,'SKU主表'!$A:$M,9,0),"")</f>
        <v/>
      </c>
      <c r="D137" s="47">
        <f>IFERROR(VLOOKUP($A137,'SKU主表'!$A:$M,5,0),"")</f>
        <v/>
      </c>
      <c r="E137" s="58" t="n"/>
      <c r="F137" s="58" t="n"/>
      <c r="G137" s="59" t="n"/>
      <c r="H137" s="59">
        <f>'参数配置'!$D$22</f>
        <v/>
      </c>
      <c r="I137" s="56">
        <f>IF($D137="","",$D137/'参数配置'!$B$5)</f>
        <v/>
      </c>
      <c r="J137" s="56">
        <f>IF($E137="","",$E137*$H137)</f>
        <v/>
      </c>
      <c r="K137" s="56">
        <f>IF($E137="","",$E137*'参数配置'!$D$20)</f>
        <v/>
      </c>
      <c r="L137" s="56">
        <f>IF($E137="","",'参数配置'!$D$21)</f>
        <v/>
      </c>
      <c r="M137" s="56">
        <f>IF($E137="","",$E137*'参数配置'!$B$8)</f>
        <v/>
      </c>
      <c r="N137" s="56">
        <f>IF($E137="","",IF($E137&lt;='参数配置'!$B$7,$E137*'参数配置'!$B$6,0))</f>
        <v/>
      </c>
      <c r="O137" s="56">
        <f>IF($E137="","",$E137*$G137)</f>
        <v/>
      </c>
      <c r="P137" s="56">
        <f>IF($E137="","",$E137*'参数配置'!$B$10)</f>
        <v/>
      </c>
      <c r="Q137" s="56">
        <f>IF($E137="","",$E137*'参数配置'!$B$11)</f>
        <v/>
      </c>
      <c r="R137" s="56">
        <f>IF($E137="","",$I137+$F137+$J137+$K137+$L137+$M137+$N137+$O137+$P137+$Q137)</f>
        <v/>
      </c>
      <c r="S137" s="56">
        <f>IF($E137="","",$E137-$R137)</f>
        <v/>
      </c>
      <c r="T137" s="57">
        <f>IF(OR($E137="",$E137=0),"",$S137/$E137)</f>
        <v/>
      </c>
      <c r="U137" s="38">
        <f>IF($E137="","",$S137*'参数配置'!$B$5)</f>
        <v/>
      </c>
      <c r="V137" s="57">
        <f>IF($E137="","",1-$H137-'参数配置'!$D$20-'参数配置'!$B$8-$G137-'参数配置'!$B$10-'参数配置'!$B$11-IF($E137&lt;='参数配置'!$B$7,'参数配置'!$B$6,0))</f>
        <v/>
      </c>
      <c r="W137" s="56">
        <f>IF($E137="","",$I137+$F137+$L137)</f>
        <v/>
      </c>
      <c r="X137" s="56">
        <f>IF($E137="","",IF($V137&gt;0,$W137/$V137,""))</f>
        <v/>
      </c>
      <c r="Y137" s="56">
        <f>IF($E137="","",IF(($V137-'参数配置'!$B$9)&gt;0,$W137/($V137-'参数配置'!$B$9),""))</f>
        <v/>
      </c>
      <c r="Z137" s="37">
        <f>IF($E137="","",IF(OR($C137="禁售",$C137="需资质"),"⛔"&amp;$C137&amp;"·不应进入利润表",IF($V137&lt;=0,"❗贡献率≤0·任何价都亏损",IF($E137&lt;$X137,"⛔低于保本价·亏损",IF($Y137="","⚠️目标不可达·需降本",IF($E137&lt;$Y137,"⚠️低于红线·未达目标利润率","✅达目标利润率"))))))</f>
        <v/>
      </c>
    </row>
    <row r="138">
      <c r="A138" s="52" t="n"/>
      <c r="B138" s="46">
        <f>IFERROR(VLOOKUP($A138,'SKU主表'!$A:$M,2,0),"")</f>
        <v/>
      </c>
      <c r="C138" s="47">
        <f>IFERROR(VLOOKUP($A138,'SKU主表'!$A:$M,9,0),"")</f>
        <v/>
      </c>
      <c r="D138" s="47">
        <f>IFERROR(VLOOKUP($A138,'SKU主表'!$A:$M,5,0),"")</f>
        <v/>
      </c>
      <c r="E138" s="58" t="n"/>
      <c r="F138" s="58" t="n"/>
      <c r="G138" s="59" t="n"/>
      <c r="H138" s="59">
        <f>'参数配置'!$D$22</f>
        <v/>
      </c>
      <c r="I138" s="56">
        <f>IF($D138="","",$D138/'参数配置'!$B$5)</f>
        <v/>
      </c>
      <c r="J138" s="56">
        <f>IF($E138="","",$E138*$H138)</f>
        <v/>
      </c>
      <c r="K138" s="56">
        <f>IF($E138="","",$E138*'参数配置'!$D$20)</f>
        <v/>
      </c>
      <c r="L138" s="56">
        <f>IF($E138="","",'参数配置'!$D$21)</f>
        <v/>
      </c>
      <c r="M138" s="56">
        <f>IF($E138="","",$E138*'参数配置'!$B$8)</f>
        <v/>
      </c>
      <c r="N138" s="56">
        <f>IF($E138="","",IF($E138&lt;='参数配置'!$B$7,$E138*'参数配置'!$B$6,0))</f>
        <v/>
      </c>
      <c r="O138" s="56">
        <f>IF($E138="","",$E138*$G138)</f>
        <v/>
      </c>
      <c r="P138" s="56">
        <f>IF($E138="","",$E138*'参数配置'!$B$10)</f>
        <v/>
      </c>
      <c r="Q138" s="56">
        <f>IF($E138="","",$E138*'参数配置'!$B$11)</f>
        <v/>
      </c>
      <c r="R138" s="56">
        <f>IF($E138="","",$I138+$F138+$J138+$K138+$L138+$M138+$N138+$O138+$P138+$Q138)</f>
        <v/>
      </c>
      <c r="S138" s="56">
        <f>IF($E138="","",$E138-$R138)</f>
        <v/>
      </c>
      <c r="T138" s="57">
        <f>IF(OR($E138="",$E138=0),"",$S138/$E138)</f>
        <v/>
      </c>
      <c r="U138" s="38">
        <f>IF($E138="","",$S138*'参数配置'!$B$5)</f>
        <v/>
      </c>
      <c r="V138" s="57">
        <f>IF($E138="","",1-$H138-'参数配置'!$D$20-'参数配置'!$B$8-$G138-'参数配置'!$B$10-'参数配置'!$B$11-IF($E138&lt;='参数配置'!$B$7,'参数配置'!$B$6,0))</f>
        <v/>
      </c>
      <c r="W138" s="56">
        <f>IF($E138="","",$I138+$F138+$L138)</f>
        <v/>
      </c>
      <c r="X138" s="56">
        <f>IF($E138="","",IF($V138&gt;0,$W138/$V138,""))</f>
        <v/>
      </c>
      <c r="Y138" s="56">
        <f>IF($E138="","",IF(($V138-'参数配置'!$B$9)&gt;0,$W138/($V138-'参数配置'!$B$9),""))</f>
        <v/>
      </c>
      <c r="Z138" s="37">
        <f>IF($E138="","",IF(OR($C138="禁售",$C138="需资质"),"⛔"&amp;$C138&amp;"·不应进入利润表",IF($V138&lt;=0,"❗贡献率≤0·任何价都亏损",IF($E138&lt;$X138,"⛔低于保本价·亏损",IF($Y138="","⚠️目标不可达·需降本",IF($E138&lt;$Y138,"⚠️低于红线·未达目标利润率","✅达目标利润率"))))))</f>
        <v/>
      </c>
    </row>
    <row r="139">
      <c r="A139" s="52" t="n"/>
      <c r="B139" s="46">
        <f>IFERROR(VLOOKUP($A139,'SKU主表'!$A:$M,2,0),"")</f>
        <v/>
      </c>
      <c r="C139" s="47">
        <f>IFERROR(VLOOKUP($A139,'SKU主表'!$A:$M,9,0),"")</f>
        <v/>
      </c>
      <c r="D139" s="47">
        <f>IFERROR(VLOOKUP($A139,'SKU主表'!$A:$M,5,0),"")</f>
        <v/>
      </c>
      <c r="E139" s="58" t="n"/>
      <c r="F139" s="58" t="n"/>
      <c r="G139" s="59" t="n"/>
      <c r="H139" s="59">
        <f>'参数配置'!$D$22</f>
        <v/>
      </c>
      <c r="I139" s="56">
        <f>IF($D139="","",$D139/'参数配置'!$B$5)</f>
        <v/>
      </c>
      <c r="J139" s="56">
        <f>IF($E139="","",$E139*$H139)</f>
        <v/>
      </c>
      <c r="K139" s="56">
        <f>IF($E139="","",$E139*'参数配置'!$D$20)</f>
        <v/>
      </c>
      <c r="L139" s="56">
        <f>IF($E139="","",'参数配置'!$D$21)</f>
        <v/>
      </c>
      <c r="M139" s="56">
        <f>IF($E139="","",$E139*'参数配置'!$B$8)</f>
        <v/>
      </c>
      <c r="N139" s="56">
        <f>IF($E139="","",IF($E139&lt;='参数配置'!$B$7,$E139*'参数配置'!$B$6,0))</f>
        <v/>
      </c>
      <c r="O139" s="56">
        <f>IF($E139="","",$E139*$G139)</f>
        <v/>
      </c>
      <c r="P139" s="56">
        <f>IF($E139="","",$E139*'参数配置'!$B$10)</f>
        <v/>
      </c>
      <c r="Q139" s="56">
        <f>IF($E139="","",$E139*'参数配置'!$B$11)</f>
        <v/>
      </c>
      <c r="R139" s="56">
        <f>IF($E139="","",$I139+$F139+$J139+$K139+$L139+$M139+$N139+$O139+$P139+$Q139)</f>
        <v/>
      </c>
      <c r="S139" s="56">
        <f>IF($E139="","",$E139-$R139)</f>
        <v/>
      </c>
      <c r="T139" s="57">
        <f>IF(OR($E139="",$E139=0),"",$S139/$E139)</f>
        <v/>
      </c>
      <c r="U139" s="38">
        <f>IF($E139="","",$S139*'参数配置'!$B$5)</f>
        <v/>
      </c>
      <c r="V139" s="57">
        <f>IF($E139="","",1-$H139-'参数配置'!$D$20-'参数配置'!$B$8-$G139-'参数配置'!$B$10-'参数配置'!$B$11-IF($E139&lt;='参数配置'!$B$7,'参数配置'!$B$6,0))</f>
        <v/>
      </c>
      <c r="W139" s="56">
        <f>IF($E139="","",$I139+$F139+$L139)</f>
        <v/>
      </c>
      <c r="X139" s="56">
        <f>IF($E139="","",IF($V139&gt;0,$W139/$V139,""))</f>
        <v/>
      </c>
      <c r="Y139" s="56">
        <f>IF($E139="","",IF(($V139-'参数配置'!$B$9)&gt;0,$W139/($V139-'参数配置'!$B$9),""))</f>
        <v/>
      </c>
      <c r="Z139" s="37">
        <f>IF($E139="","",IF(OR($C139="禁售",$C139="需资质"),"⛔"&amp;$C139&amp;"·不应进入利润表",IF($V139&lt;=0,"❗贡献率≤0·任何价都亏损",IF($E139&lt;$X139,"⛔低于保本价·亏损",IF($Y139="","⚠️目标不可达·需降本",IF($E139&lt;$Y139,"⚠️低于红线·未达目标利润率","✅达目标利润率"))))))</f>
        <v/>
      </c>
    </row>
    <row r="140">
      <c r="A140" s="52" t="n"/>
      <c r="B140" s="46">
        <f>IFERROR(VLOOKUP($A140,'SKU主表'!$A:$M,2,0),"")</f>
        <v/>
      </c>
      <c r="C140" s="47">
        <f>IFERROR(VLOOKUP($A140,'SKU主表'!$A:$M,9,0),"")</f>
        <v/>
      </c>
      <c r="D140" s="47">
        <f>IFERROR(VLOOKUP($A140,'SKU主表'!$A:$M,5,0),"")</f>
        <v/>
      </c>
      <c r="E140" s="58" t="n"/>
      <c r="F140" s="58" t="n"/>
      <c r="G140" s="59" t="n"/>
      <c r="H140" s="59">
        <f>'参数配置'!$D$22</f>
        <v/>
      </c>
      <c r="I140" s="56">
        <f>IF($D140="","",$D140/'参数配置'!$B$5)</f>
        <v/>
      </c>
      <c r="J140" s="56">
        <f>IF($E140="","",$E140*$H140)</f>
        <v/>
      </c>
      <c r="K140" s="56">
        <f>IF($E140="","",$E140*'参数配置'!$D$20)</f>
        <v/>
      </c>
      <c r="L140" s="56">
        <f>IF($E140="","",'参数配置'!$D$21)</f>
        <v/>
      </c>
      <c r="M140" s="56">
        <f>IF($E140="","",$E140*'参数配置'!$B$8)</f>
        <v/>
      </c>
      <c r="N140" s="56">
        <f>IF($E140="","",IF($E140&lt;='参数配置'!$B$7,$E140*'参数配置'!$B$6,0))</f>
        <v/>
      </c>
      <c r="O140" s="56">
        <f>IF($E140="","",$E140*$G140)</f>
        <v/>
      </c>
      <c r="P140" s="56">
        <f>IF($E140="","",$E140*'参数配置'!$B$10)</f>
        <v/>
      </c>
      <c r="Q140" s="56">
        <f>IF($E140="","",$E140*'参数配置'!$B$11)</f>
        <v/>
      </c>
      <c r="R140" s="56">
        <f>IF($E140="","",$I140+$F140+$J140+$K140+$L140+$M140+$N140+$O140+$P140+$Q140)</f>
        <v/>
      </c>
      <c r="S140" s="56">
        <f>IF($E140="","",$E140-$R140)</f>
        <v/>
      </c>
      <c r="T140" s="57">
        <f>IF(OR($E140="",$E140=0),"",$S140/$E140)</f>
        <v/>
      </c>
      <c r="U140" s="38">
        <f>IF($E140="","",$S140*'参数配置'!$B$5)</f>
        <v/>
      </c>
      <c r="V140" s="57">
        <f>IF($E140="","",1-$H140-'参数配置'!$D$20-'参数配置'!$B$8-$G140-'参数配置'!$B$10-'参数配置'!$B$11-IF($E140&lt;='参数配置'!$B$7,'参数配置'!$B$6,0))</f>
        <v/>
      </c>
      <c r="W140" s="56">
        <f>IF($E140="","",$I140+$F140+$L140)</f>
        <v/>
      </c>
      <c r="X140" s="56">
        <f>IF($E140="","",IF($V140&gt;0,$W140/$V140,""))</f>
        <v/>
      </c>
      <c r="Y140" s="56">
        <f>IF($E140="","",IF(($V140-'参数配置'!$B$9)&gt;0,$W140/($V140-'参数配置'!$B$9),""))</f>
        <v/>
      </c>
      <c r="Z140" s="37">
        <f>IF($E140="","",IF(OR($C140="禁售",$C140="需资质"),"⛔"&amp;$C140&amp;"·不应进入利润表",IF($V140&lt;=0,"❗贡献率≤0·任何价都亏损",IF($E140&lt;$X140,"⛔低于保本价·亏损",IF($Y140="","⚠️目标不可达·需降本",IF($E140&lt;$Y140,"⚠️低于红线·未达目标利润率","✅达目标利润率"))))))</f>
        <v/>
      </c>
    </row>
    <row r="141">
      <c r="A141" s="52" t="n"/>
      <c r="B141" s="46">
        <f>IFERROR(VLOOKUP($A141,'SKU主表'!$A:$M,2,0),"")</f>
        <v/>
      </c>
      <c r="C141" s="47">
        <f>IFERROR(VLOOKUP($A141,'SKU主表'!$A:$M,9,0),"")</f>
        <v/>
      </c>
      <c r="D141" s="47">
        <f>IFERROR(VLOOKUP($A141,'SKU主表'!$A:$M,5,0),"")</f>
        <v/>
      </c>
      <c r="E141" s="58" t="n"/>
      <c r="F141" s="58" t="n"/>
      <c r="G141" s="59" t="n"/>
      <c r="H141" s="59">
        <f>'参数配置'!$D$22</f>
        <v/>
      </c>
      <c r="I141" s="56">
        <f>IF($D141="","",$D141/'参数配置'!$B$5)</f>
        <v/>
      </c>
      <c r="J141" s="56">
        <f>IF($E141="","",$E141*$H141)</f>
        <v/>
      </c>
      <c r="K141" s="56">
        <f>IF($E141="","",$E141*'参数配置'!$D$20)</f>
        <v/>
      </c>
      <c r="L141" s="56">
        <f>IF($E141="","",'参数配置'!$D$21)</f>
        <v/>
      </c>
      <c r="M141" s="56">
        <f>IF($E141="","",$E141*'参数配置'!$B$8)</f>
        <v/>
      </c>
      <c r="N141" s="56">
        <f>IF($E141="","",IF($E141&lt;='参数配置'!$B$7,$E141*'参数配置'!$B$6,0))</f>
        <v/>
      </c>
      <c r="O141" s="56">
        <f>IF($E141="","",$E141*$G141)</f>
        <v/>
      </c>
      <c r="P141" s="56">
        <f>IF($E141="","",$E141*'参数配置'!$B$10)</f>
        <v/>
      </c>
      <c r="Q141" s="56">
        <f>IF($E141="","",$E141*'参数配置'!$B$11)</f>
        <v/>
      </c>
      <c r="R141" s="56">
        <f>IF($E141="","",$I141+$F141+$J141+$K141+$L141+$M141+$N141+$O141+$P141+$Q141)</f>
        <v/>
      </c>
      <c r="S141" s="56">
        <f>IF($E141="","",$E141-$R141)</f>
        <v/>
      </c>
      <c r="T141" s="57">
        <f>IF(OR($E141="",$E141=0),"",$S141/$E141)</f>
        <v/>
      </c>
      <c r="U141" s="38">
        <f>IF($E141="","",$S141*'参数配置'!$B$5)</f>
        <v/>
      </c>
      <c r="V141" s="57">
        <f>IF($E141="","",1-$H141-'参数配置'!$D$20-'参数配置'!$B$8-$G141-'参数配置'!$B$10-'参数配置'!$B$11-IF($E141&lt;='参数配置'!$B$7,'参数配置'!$B$6,0))</f>
        <v/>
      </c>
      <c r="W141" s="56">
        <f>IF($E141="","",$I141+$F141+$L141)</f>
        <v/>
      </c>
      <c r="X141" s="56">
        <f>IF($E141="","",IF($V141&gt;0,$W141/$V141,""))</f>
        <v/>
      </c>
      <c r="Y141" s="56">
        <f>IF($E141="","",IF(($V141-'参数配置'!$B$9)&gt;0,$W141/($V141-'参数配置'!$B$9),""))</f>
        <v/>
      </c>
      <c r="Z141" s="37">
        <f>IF($E141="","",IF(OR($C141="禁售",$C141="需资质"),"⛔"&amp;$C141&amp;"·不应进入利润表",IF($V141&lt;=0,"❗贡献率≤0·任何价都亏损",IF($E141&lt;$X141,"⛔低于保本价·亏损",IF($Y141="","⚠️目标不可达·需降本",IF($E141&lt;$Y141,"⚠️低于红线·未达目标利润率","✅达目标利润率"))))))</f>
        <v/>
      </c>
    </row>
    <row r="142">
      <c r="A142" s="52" t="n"/>
      <c r="B142" s="46">
        <f>IFERROR(VLOOKUP($A142,'SKU主表'!$A:$M,2,0),"")</f>
        <v/>
      </c>
      <c r="C142" s="47">
        <f>IFERROR(VLOOKUP($A142,'SKU主表'!$A:$M,9,0),"")</f>
        <v/>
      </c>
      <c r="D142" s="47">
        <f>IFERROR(VLOOKUP($A142,'SKU主表'!$A:$M,5,0),"")</f>
        <v/>
      </c>
      <c r="E142" s="58" t="n"/>
      <c r="F142" s="58" t="n"/>
      <c r="G142" s="59" t="n"/>
      <c r="H142" s="59">
        <f>'参数配置'!$D$22</f>
        <v/>
      </c>
      <c r="I142" s="56">
        <f>IF($D142="","",$D142/'参数配置'!$B$5)</f>
        <v/>
      </c>
      <c r="J142" s="56">
        <f>IF($E142="","",$E142*$H142)</f>
        <v/>
      </c>
      <c r="K142" s="56">
        <f>IF($E142="","",$E142*'参数配置'!$D$20)</f>
        <v/>
      </c>
      <c r="L142" s="56">
        <f>IF($E142="","",'参数配置'!$D$21)</f>
        <v/>
      </c>
      <c r="M142" s="56">
        <f>IF($E142="","",$E142*'参数配置'!$B$8)</f>
        <v/>
      </c>
      <c r="N142" s="56">
        <f>IF($E142="","",IF($E142&lt;='参数配置'!$B$7,$E142*'参数配置'!$B$6,0))</f>
        <v/>
      </c>
      <c r="O142" s="56">
        <f>IF($E142="","",$E142*$G142)</f>
        <v/>
      </c>
      <c r="P142" s="56">
        <f>IF($E142="","",$E142*'参数配置'!$B$10)</f>
        <v/>
      </c>
      <c r="Q142" s="56">
        <f>IF($E142="","",$E142*'参数配置'!$B$11)</f>
        <v/>
      </c>
      <c r="R142" s="56">
        <f>IF($E142="","",$I142+$F142+$J142+$K142+$L142+$M142+$N142+$O142+$P142+$Q142)</f>
        <v/>
      </c>
      <c r="S142" s="56">
        <f>IF($E142="","",$E142-$R142)</f>
        <v/>
      </c>
      <c r="T142" s="57">
        <f>IF(OR($E142="",$E142=0),"",$S142/$E142)</f>
        <v/>
      </c>
      <c r="U142" s="38">
        <f>IF($E142="","",$S142*'参数配置'!$B$5)</f>
        <v/>
      </c>
      <c r="V142" s="57">
        <f>IF($E142="","",1-$H142-'参数配置'!$D$20-'参数配置'!$B$8-$G142-'参数配置'!$B$10-'参数配置'!$B$11-IF($E142&lt;='参数配置'!$B$7,'参数配置'!$B$6,0))</f>
        <v/>
      </c>
      <c r="W142" s="56">
        <f>IF($E142="","",$I142+$F142+$L142)</f>
        <v/>
      </c>
      <c r="X142" s="56">
        <f>IF($E142="","",IF($V142&gt;0,$W142/$V142,""))</f>
        <v/>
      </c>
      <c r="Y142" s="56">
        <f>IF($E142="","",IF(($V142-'参数配置'!$B$9)&gt;0,$W142/($V142-'参数配置'!$B$9),""))</f>
        <v/>
      </c>
      <c r="Z142" s="37">
        <f>IF($E142="","",IF(OR($C142="禁售",$C142="需资质"),"⛔"&amp;$C142&amp;"·不应进入利润表",IF($V142&lt;=0,"❗贡献率≤0·任何价都亏损",IF($E142&lt;$X142,"⛔低于保本价·亏损",IF($Y142="","⚠️目标不可达·需降本",IF($E142&lt;$Y142,"⚠️低于红线·未达目标利润率","✅达目标利润率"))))))</f>
        <v/>
      </c>
    </row>
    <row r="143">
      <c r="A143" s="52" t="n"/>
      <c r="B143" s="46">
        <f>IFERROR(VLOOKUP($A143,'SKU主表'!$A:$M,2,0),"")</f>
        <v/>
      </c>
      <c r="C143" s="47">
        <f>IFERROR(VLOOKUP($A143,'SKU主表'!$A:$M,9,0),"")</f>
        <v/>
      </c>
      <c r="D143" s="47">
        <f>IFERROR(VLOOKUP($A143,'SKU主表'!$A:$M,5,0),"")</f>
        <v/>
      </c>
      <c r="E143" s="58" t="n"/>
      <c r="F143" s="58" t="n"/>
      <c r="G143" s="59" t="n"/>
      <c r="H143" s="59">
        <f>'参数配置'!$D$22</f>
        <v/>
      </c>
      <c r="I143" s="56">
        <f>IF($D143="","",$D143/'参数配置'!$B$5)</f>
        <v/>
      </c>
      <c r="J143" s="56">
        <f>IF($E143="","",$E143*$H143)</f>
        <v/>
      </c>
      <c r="K143" s="56">
        <f>IF($E143="","",$E143*'参数配置'!$D$20)</f>
        <v/>
      </c>
      <c r="L143" s="56">
        <f>IF($E143="","",'参数配置'!$D$21)</f>
        <v/>
      </c>
      <c r="M143" s="56">
        <f>IF($E143="","",$E143*'参数配置'!$B$8)</f>
        <v/>
      </c>
      <c r="N143" s="56">
        <f>IF($E143="","",IF($E143&lt;='参数配置'!$B$7,$E143*'参数配置'!$B$6,0))</f>
        <v/>
      </c>
      <c r="O143" s="56">
        <f>IF($E143="","",$E143*$G143)</f>
        <v/>
      </c>
      <c r="P143" s="56">
        <f>IF($E143="","",$E143*'参数配置'!$B$10)</f>
        <v/>
      </c>
      <c r="Q143" s="56">
        <f>IF($E143="","",$E143*'参数配置'!$B$11)</f>
        <v/>
      </c>
      <c r="R143" s="56">
        <f>IF($E143="","",$I143+$F143+$J143+$K143+$L143+$M143+$N143+$O143+$P143+$Q143)</f>
        <v/>
      </c>
      <c r="S143" s="56">
        <f>IF($E143="","",$E143-$R143)</f>
        <v/>
      </c>
      <c r="T143" s="57">
        <f>IF(OR($E143="",$E143=0),"",$S143/$E143)</f>
        <v/>
      </c>
      <c r="U143" s="38">
        <f>IF($E143="","",$S143*'参数配置'!$B$5)</f>
        <v/>
      </c>
      <c r="V143" s="57">
        <f>IF($E143="","",1-$H143-'参数配置'!$D$20-'参数配置'!$B$8-$G143-'参数配置'!$B$10-'参数配置'!$B$11-IF($E143&lt;='参数配置'!$B$7,'参数配置'!$B$6,0))</f>
        <v/>
      </c>
      <c r="W143" s="56">
        <f>IF($E143="","",$I143+$F143+$L143)</f>
        <v/>
      </c>
      <c r="X143" s="56">
        <f>IF($E143="","",IF($V143&gt;0,$W143/$V143,""))</f>
        <v/>
      </c>
      <c r="Y143" s="56">
        <f>IF($E143="","",IF(($V143-'参数配置'!$B$9)&gt;0,$W143/($V143-'参数配置'!$B$9),""))</f>
        <v/>
      </c>
      <c r="Z143" s="37">
        <f>IF($E143="","",IF(OR($C143="禁售",$C143="需资质"),"⛔"&amp;$C143&amp;"·不应进入利润表",IF($V143&lt;=0,"❗贡献率≤0·任何价都亏损",IF($E143&lt;$X143,"⛔低于保本价·亏损",IF($Y143="","⚠️目标不可达·需降本",IF($E143&lt;$Y143,"⚠️低于红线·未达目标利润率","✅达目标利润率"))))))</f>
        <v/>
      </c>
    </row>
    <row r="144">
      <c r="A144" s="52" t="n"/>
      <c r="B144" s="46">
        <f>IFERROR(VLOOKUP($A144,'SKU主表'!$A:$M,2,0),"")</f>
        <v/>
      </c>
      <c r="C144" s="47">
        <f>IFERROR(VLOOKUP($A144,'SKU主表'!$A:$M,9,0),"")</f>
        <v/>
      </c>
      <c r="D144" s="47">
        <f>IFERROR(VLOOKUP($A144,'SKU主表'!$A:$M,5,0),"")</f>
        <v/>
      </c>
      <c r="E144" s="58" t="n"/>
      <c r="F144" s="58" t="n"/>
      <c r="G144" s="59" t="n"/>
      <c r="H144" s="59">
        <f>'参数配置'!$D$22</f>
        <v/>
      </c>
      <c r="I144" s="56">
        <f>IF($D144="","",$D144/'参数配置'!$B$5)</f>
        <v/>
      </c>
      <c r="J144" s="56">
        <f>IF($E144="","",$E144*$H144)</f>
        <v/>
      </c>
      <c r="K144" s="56">
        <f>IF($E144="","",$E144*'参数配置'!$D$20)</f>
        <v/>
      </c>
      <c r="L144" s="56">
        <f>IF($E144="","",'参数配置'!$D$21)</f>
        <v/>
      </c>
      <c r="M144" s="56">
        <f>IF($E144="","",$E144*'参数配置'!$B$8)</f>
        <v/>
      </c>
      <c r="N144" s="56">
        <f>IF($E144="","",IF($E144&lt;='参数配置'!$B$7,$E144*'参数配置'!$B$6,0))</f>
        <v/>
      </c>
      <c r="O144" s="56">
        <f>IF($E144="","",$E144*$G144)</f>
        <v/>
      </c>
      <c r="P144" s="56">
        <f>IF($E144="","",$E144*'参数配置'!$B$10)</f>
        <v/>
      </c>
      <c r="Q144" s="56">
        <f>IF($E144="","",$E144*'参数配置'!$B$11)</f>
        <v/>
      </c>
      <c r="R144" s="56">
        <f>IF($E144="","",$I144+$F144+$J144+$K144+$L144+$M144+$N144+$O144+$P144+$Q144)</f>
        <v/>
      </c>
      <c r="S144" s="56">
        <f>IF($E144="","",$E144-$R144)</f>
        <v/>
      </c>
      <c r="T144" s="57">
        <f>IF(OR($E144="",$E144=0),"",$S144/$E144)</f>
        <v/>
      </c>
      <c r="U144" s="38">
        <f>IF($E144="","",$S144*'参数配置'!$B$5)</f>
        <v/>
      </c>
      <c r="V144" s="57">
        <f>IF($E144="","",1-$H144-'参数配置'!$D$20-'参数配置'!$B$8-$G144-'参数配置'!$B$10-'参数配置'!$B$11-IF($E144&lt;='参数配置'!$B$7,'参数配置'!$B$6,0))</f>
        <v/>
      </c>
      <c r="W144" s="56">
        <f>IF($E144="","",$I144+$F144+$L144)</f>
        <v/>
      </c>
      <c r="X144" s="56">
        <f>IF($E144="","",IF($V144&gt;0,$W144/$V144,""))</f>
        <v/>
      </c>
      <c r="Y144" s="56">
        <f>IF($E144="","",IF(($V144-'参数配置'!$B$9)&gt;0,$W144/($V144-'参数配置'!$B$9),""))</f>
        <v/>
      </c>
      <c r="Z144" s="37">
        <f>IF($E144="","",IF(OR($C144="禁售",$C144="需资质"),"⛔"&amp;$C144&amp;"·不应进入利润表",IF($V144&lt;=0,"❗贡献率≤0·任何价都亏损",IF($E144&lt;$X144,"⛔低于保本价·亏损",IF($Y144="","⚠️目标不可达·需降本",IF($E144&lt;$Y144,"⚠️低于红线·未达目标利润率","✅达目标利润率"))))))</f>
        <v/>
      </c>
    </row>
    <row r="145">
      <c r="A145" s="52" t="n"/>
      <c r="B145" s="46">
        <f>IFERROR(VLOOKUP($A145,'SKU主表'!$A:$M,2,0),"")</f>
        <v/>
      </c>
      <c r="C145" s="47">
        <f>IFERROR(VLOOKUP($A145,'SKU主表'!$A:$M,9,0),"")</f>
        <v/>
      </c>
      <c r="D145" s="47">
        <f>IFERROR(VLOOKUP($A145,'SKU主表'!$A:$M,5,0),"")</f>
        <v/>
      </c>
      <c r="E145" s="58" t="n"/>
      <c r="F145" s="58" t="n"/>
      <c r="G145" s="59" t="n"/>
      <c r="H145" s="59">
        <f>'参数配置'!$D$22</f>
        <v/>
      </c>
      <c r="I145" s="56">
        <f>IF($D145="","",$D145/'参数配置'!$B$5)</f>
        <v/>
      </c>
      <c r="J145" s="56">
        <f>IF($E145="","",$E145*$H145)</f>
        <v/>
      </c>
      <c r="K145" s="56">
        <f>IF($E145="","",$E145*'参数配置'!$D$20)</f>
        <v/>
      </c>
      <c r="L145" s="56">
        <f>IF($E145="","",'参数配置'!$D$21)</f>
        <v/>
      </c>
      <c r="M145" s="56">
        <f>IF($E145="","",$E145*'参数配置'!$B$8)</f>
        <v/>
      </c>
      <c r="N145" s="56">
        <f>IF($E145="","",IF($E145&lt;='参数配置'!$B$7,$E145*'参数配置'!$B$6,0))</f>
        <v/>
      </c>
      <c r="O145" s="56">
        <f>IF($E145="","",$E145*$G145)</f>
        <v/>
      </c>
      <c r="P145" s="56">
        <f>IF($E145="","",$E145*'参数配置'!$B$10)</f>
        <v/>
      </c>
      <c r="Q145" s="56">
        <f>IF($E145="","",$E145*'参数配置'!$B$11)</f>
        <v/>
      </c>
      <c r="R145" s="56">
        <f>IF($E145="","",$I145+$F145+$J145+$K145+$L145+$M145+$N145+$O145+$P145+$Q145)</f>
        <v/>
      </c>
      <c r="S145" s="56">
        <f>IF($E145="","",$E145-$R145)</f>
        <v/>
      </c>
      <c r="T145" s="57">
        <f>IF(OR($E145="",$E145=0),"",$S145/$E145)</f>
        <v/>
      </c>
      <c r="U145" s="38">
        <f>IF($E145="","",$S145*'参数配置'!$B$5)</f>
        <v/>
      </c>
      <c r="V145" s="57">
        <f>IF($E145="","",1-$H145-'参数配置'!$D$20-'参数配置'!$B$8-$G145-'参数配置'!$B$10-'参数配置'!$B$11-IF($E145&lt;='参数配置'!$B$7,'参数配置'!$B$6,0))</f>
        <v/>
      </c>
      <c r="W145" s="56">
        <f>IF($E145="","",$I145+$F145+$L145)</f>
        <v/>
      </c>
      <c r="X145" s="56">
        <f>IF($E145="","",IF($V145&gt;0,$W145/$V145,""))</f>
        <v/>
      </c>
      <c r="Y145" s="56">
        <f>IF($E145="","",IF(($V145-'参数配置'!$B$9)&gt;0,$W145/($V145-'参数配置'!$B$9),""))</f>
        <v/>
      </c>
      <c r="Z145" s="37">
        <f>IF($E145="","",IF(OR($C145="禁售",$C145="需资质"),"⛔"&amp;$C145&amp;"·不应进入利润表",IF($V145&lt;=0,"❗贡献率≤0·任何价都亏损",IF($E145&lt;$X145,"⛔低于保本价·亏损",IF($Y145="","⚠️目标不可达·需降本",IF($E145&lt;$Y145,"⚠️低于红线·未达目标利润率","✅达目标利润率"))))))</f>
        <v/>
      </c>
    </row>
    <row r="146">
      <c r="A146" s="52" t="n"/>
      <c r="B146" s="46">
        <f>IFERROR(VLOOKUP($A146,'SKU主表'!$A:$M,2,0),"")</f>
        <v/>
      </c>
      <c r="C146" s="47">
        <f>IFERROR(VLOOKUP($A146,'SKU主表'!$A:$M,9,0),"")</f>
        <v/>
      </c>
      <c r="D146" s="47">
        <f>IFERROR(VLOOKUP($A146,'SKU主表'!$A:$M,5,0),"")</f>
        <v/>
      </c>
      <c r="E146" s="58" t="n"/>
      <c r="F146" s="58" t="n"/>
      <c r="G146" s="59" t="n"/>
      <c r="H146" s="59">
        <f>'参数配置'!$D$22</f>
        <v/>
      </c>
      <c r="I146" s="56">
        <f>IF($D146="","",$D146/'参数配置'!$B$5)</f>
        <v/>
      </c>
      <c r="J146" s="56">
        <f>IF($E146="","",$E146*$H146)</f>
        <v/>
      </c>
      <c r="K146" s="56">
        <f>IF($E146="","",$E146*'参数配置'!$D$20)</f>
        <v/>
      </c>
      <c r="L146" s="56">
        <f>IF($E146="","",'参数配置'!$D$21)</f>
        <v/>
      </c>
      <c r="M146" s="56">
        <f>IF($E146="","",$E146*'参数配置'!$B$8)</f>
        <v/>
      </c>
      <c r="N146" s="56">
        <f>IF($E146="","",IF($E146&lt;='参数配置'!$B$7,$E146*'参数配置'!$B$6,0))</f>
        <v/>
      </c>
      <c r="O146" s="56">
        <f>IF($E146="","",$E146*$G146)</f>
        <v/>
      </c>
      <c r="P146" s="56">
        <f>IF($E146="","",$E146*'参数配置'!$B$10)</f>
        <v/>
      </c>
      <c r="Q146" s="56">
        <f>IF($E146="","",$E146*'参数配置'!$B$11)</f>
        <v/>
      </c>
      <c r="R146" s="56">
        <f>IF($E146="","",$I146+$F146+$J146+$K146+$L146+$M146+$N146+$O146+$P146+$Q146)</f>
        <v/>
      </c>
      <c r="S146" s="56">
        <f>IF($E146="","",$E146-$R146)</f>
        <v/>
      </c>
      <c r="T146" s="57">
        <f>IF(OR($E146="",$E146=0),"",$S146/$E146)</f>
        <v/>
      </c>
      <c r="U146" s="38">
        <f>IF($E146="","",$S146*'参数配置'!$B$5)</f>
        <v/>
      </c>
      <c r="V146" s="57">
        <f>IF($E146="","",1-$H146-'参数配置'!$D$20-'参数配置'!$B$8-$G146-'参数配置'!$B$10-'参数配置'!$B$11-IF($E146&lt;='参数配置'!$B$7,'参数配置'!$B$6,0))</f>
        <v/>
      </c>
      <c r="W146" s="56">
        <f>IF($E146="","",$I146+$F146+$L146)</f>
        <v/>
      </c>
      <c r="X146" s="56">
        <f>IF($E146="","",IF($V146&gt;0,$W146/$V146,""))</f>
        <v/>
      </c>
      <c r="Y146" s="56">
        <f>IF($E146="","",IF(($V146-'参数配置'!$B$9)&gt;0,$W146/($V146-'参数配置'!$B$9),""))</f>
        <v/>
      </c>
      <c r="Z146" s="37">
        <f>IF($E146="","",IF(OR($C146="禁售",$C146="需资质"),"⛔"&amp;$C146&amp;"·不应进入利润表",IF($V146&lt;=0,"❗贡献率≤0·任何价都亏损",IF($E146&lt;$X146,"⛔低于保本价·亏损",IF($Y146="","⚠️目标不可达·需降本",IF($E146&lt;$Y146,"⚠️低于红线·未达目标利润率","✅达目标利润率"))))))</f>
        <v/>
      </c>
    </row>
    <row r="147">
      <c r="A147" s="52" t="n"/>
      <c r="B147" s="46">
        <f>IFERROR(VLOOKUP($A147,'SKU主表'!$A:$M,2,0),"")</f>
        <v/>
      </c>
      <c r="C147" s="47">
        <f>IFERROR(VLOOKUP($A147,'SKU主表'!$A:$M,9,0),"")</f>
        <v/>
      </c>
      <c r="D147" s="47">
        <f>IFERROR(VLOOKUP($A147,'SKU主表'!$A:$M,5,0),"")</f>
        <v/>
      </c>
      <c r="E147" s="58" t="n"/>
      <c r="F147" s="58" t="n"/>
      <c r="G147" s="59" t="n"/>
      <c r="H147" s="59">
        <f>'参数配置'!$D$22</f>
        <v/>
      </c>
      <c r="I147" s="56">
        <f>IF($D147="","",$D147/'参数配置'!$B$5)</f>
        <v/>
      </c>
      <c r="J147" s="56">
        <f>IF($E147="","",$E147*$H147)</f>
        <v/>
      </c>
      <c r="K147" s="56">
        <f>IF($E147="","",$E147*'参数配置'!$D$20)</f>
        <v/>
      </c>
      <c r="L147" s="56">
        <f>IF($E147="","",'参数配置'!$D$21)</f>
        <v/>
      </c>
      <c r="M147" s="56">
        <f>IF($E147="","",$E147*'参数配置'!$B$8)</f>
        <v/>
      </c>
      <c r="N147" s="56">
        <f>IF($E147="","",IF($E147&lt;='参数配置'!$B$7,$E147*'参数配置'!$B$6,0))</f>
        <v/>
      </c>
      <c r="O147" s="56">
        <f>IF($E147="","",$E147*$G147)</f>
        <v/>
      </c>
      <c r="P147" s="56">
        <f>IF($E147="","",$E147*'参数配置'!$B$10)</f>
        <v/>
      </c>
      <c r="Q147" s="56">
        <f>IF($E147="","",$E147*'参数配置'!$B$11)</f>
        <v/>
      </c>
      <c r="R147" s="56">
        <f>IF($E147="","",$I147+$F147+$J147+$K147+$L147+$M147+$N147+$O147+$P147+$Q147)</f>
        <v/>
      </c>
      <c r="S147" s="56">
        <f>IF($E147="","",$E147-$R147)</f>
        <v/>
      </c>
      <c r="T147" s="57">
        <f>IF(OR($E147="",$E147=0),"",$S147/$E147)</f>
        <v/>
      </c>
      <c r="U147" s="38">
        <f>IF($E147="","",$S147*'参数配置'!$B$5)</f>
        <v/>
      </c>
      <c r="V147" s="57">
        <f>IF($E147="","",1-$H147-'参数配置'!$D$20-'参数配置'!$B$8-$G147-'参数配置'!$B$10-'参数配置'!$B$11-IF($E147&lt;='参数配置'!$B$7,'参数配置'!$B$6,0))</f>
        <v/>
      </c>
      <c r="W147" s="56">
        <f>IF($E147="","",$I147+$F147+$L147)</f>
        <v/>
      </c>
      <c r="X147" s="56">
        <f>IF($E147="","",IF($V147&gt;0,$W147/$V147,""))</f>
        <v/>
      </c>
      <c r="Y147" s="56">
        <f>IF($E147="","",IF(($V147-'参数配置'!$B$9)&gt;0,$W147/($V147-'参数配置'!$B$9),""))</f>
        <v/>
      </c>
      <c r="Z147" s="37">
        <f>IF($E147="","",IF(OR($C147="禁售",$C147="需资质"),"⛔"&amp;$C147&amp;"·不应进入利润表",IF($V147&lt;=0,"❗贡献率≤0·任何价都亏损",IF($E147&lt;$X147,"⛔低于保本价·亏损",IF($Y147="","⚠️目标不可达·需降本",IF($E147&lt;$Y147,"⚠️低于红线·未达目标利润率","✅达目标利润率"))))))</f>
        <v/>
      </c>
    </row>
    <row r="148">
      <c r="A148" s="52" t="n"/>
      <c r="B148" s="46">
        <f>IFERROR(VLOOKUP($A148,'SKU主表'!$A:$M,2,0),"")</f>
        <v/>
      </c>
      <c r="C148" s="47">
        <f>IFERROR(VLOOKUP($A148,'SKU主表'!$A:$M,9,0),"")</f>
        <v/>
      </c>
      <c r="D148" s="47">
        <f>IFERROR(VLOOKUP($A148,'SKU主表'!$A:$M,5,0),"")</f>
        <v/>
      </c>
      <c r="E148" s="58" t="n"/>
      <c r="F148" s="58" t="n"/>
      <c r="G148" s="59" t="n"/>
      <c r="H148" s="59">
        <f>'参数配置'!$D$22</f>
        <v/>
      </c>
      <c r="I148" s="56">
        <f>IF($D148="","",$D148/'参数配置'!$B$5)</f>
        <v/>
      </c>
      <c r="J148" s="56">
        <f>IF($E148="","",$E148*$H148)</f>
        <v/>
      </c>
      <c r="K148" s="56">
        <f>IF($E148="","",$E148*'参数配置'!$D$20)</f>
        <v/>
      </c>
      <c r="L148" s="56">
        <f>IF($E148="","",'参数配置'!$D$21)</f>
        <v/>
      </c>
      <c r="M148" s="56">
        <f>IF($E148="","",$E148*'参数配置'!$B$8)</f>
        <v/>
      </c>
      <c r="N148" s="56">
        <f>IF($E148="","",IF($E148&lt;='参数配置'!$B$7,$E148*'参数配置'!$B$6,0))</f>
        <v/>
      </c>
      <c r="O148" s="56">
        <f>IF($E148="","",$E148*$G148)</f>
        <v/>
      </c>
      <c r="P148" s="56">
        <f>IF($E148="","",$E148*'参数配置'!$B$10)</f>
        <v/>
      </c>
      <c r="Q148" s="56">
        <f>IF($E148="","",$E148*'参数配置'!$B$11)</f>
        <v/>
      </c>
      <c r="R148" s="56">
        <f>IF($E148="","",$I148+$F148+$J148+$K148+$L148+$M148+$N148+$O148+$P148+$Q148)</f>
        <v/>
      </c>
      <c r="S148" s="56">
        <f>IF($E148="","",$E148-$R148)</f>
        <v/>
      </c>
      <c r="T148" s="57">
        <f>IF(OR($E148="",$E148=0),"",$S148/$E148)</f>
        <v/>
      </c>
      <c r="U148" s="38">
        <f>IF($E148="","",$S148*'参数配置'!$B$5)</f>
        <v/>
      </c>
      <c r="V148" s="57">
        <f>IF($E148="","",1-$H148-'参数配置'!$D$20-'参数配置'!$B$8-$G148-'参数配置'!$B$10-'参数配置'!$B$11-IF($E148&lt;='参数配置'!$B$7,'参数配置'!$B$6,0))</f>
        <v/>
      </c>
      <c r="W148" s="56">
        <f>IF($E148="","",$I148+$F148+$L148)</f>
        <v/>
      </c>
      <c r="X148" s="56">
        <f>IF($E148="","",IF($V148&gt;0,$W148/$V148,""))</f>
        <v/>
      </c>
      <c r="Y148" s="56">
        <f>IF($E148="","",IF(($V148-'参数配置'!$B$9)&gt;0,$W148/($V148-'参数配置'!$B$9),""))</f>
        <v/>
      </c>
      <c r="Z148" s="37">
        <f>IF($E148="","",IF(OR($C148="禁售",$C148="需资质"),"⛔"&amp;$C148&amp;"·不应进入利润表",IF($V148&lt;=0,"❗贡献率≤0·任何价都亏损",IF($E148&lt;$X148,"⛔低于保本价·亏损",IF($Y148="","⚠️目标不可达·需降本",IF($E148&lt;$Y148,"⚠️低于红线·未达目标利润率","✅达目标利润率"))))))</f>
        <v/>
      </c>
    </row>
    <row r="149">
      <c r="A149" s="52" t="n"/>
      <c r="B149" s="46">
        <f>IFERROR(VLOOKUP($A149,'SKU主表'!$A:$M,2,0),"")</f>
        <v/>
      </c>
      <c r="C149" s="47">
        <f>IFERROR(VLOOKUP($A149,'SKU主表'!$A:$M,9,0),"")</f>
        <v/>
      </c>
      <c r="D149" s="47">
        <f>IFERROR(VLOOKUP($A149,'SKU主表'!$A:$M,5,0),"")</f>
        <v/>
      </c>
      <c r="E149" s="58" t="n"/>
      <c r="F149" s="58" t="n"/>
      <c r="G149" s="59" t="n"/>
      <c r="H149" s="59">
        <f>'参数配置'!$D$22</f>
        <v/>
      </c>
      <c r="I149" s="56">
        <f>IF($D149="","",$D149/'参数配置'!$B$5)</f>
        <v/>
      </c>
      <c r="J149" s="56">
        <f>IF($E149="","",$E149*$H149)</f>
        <v/>
      </c>
      <c r="K149" s="56">
        <f>IF($E149="","",$E149*'参数配置'!$D$20)</f>
        <v/>
      </c>
      <c r="L149" s="56">
        <f>IF($E149="","",'参数配置'!$D$21)</f>
        <v/>
      </c>
      <c r="M149" s="56">
        <f>IF($E149="","",$E149*'参数配置'!$B$8)</f>
        <v/>
      </c>
      <c r="N149" s="56">
        <f>IF($E149="","",IF($E149&lt;='参数配置'!$B$7,$E149*'参数配置'!$B$6,0))</f>
        <v/>
      </c>
      <c r="O149" s="56">
        <f>IF($E149="","",$E149*$G149)</f>
        <v/>
      </c>
      <c r="P149" s="56">
        <f>IF($E149="","",$E149*'参数配置'!$B$10)</f>
        <v/>
      </c>
      <c r="Q149" s="56">
        <f>IF($E149="","",$E149*'参数配置'!$B$11)</f>
        <v/>
      </c>
      <c r="R149" s="56">
        <f>IF($E149="","",$I149+$F149+$J149+$K149+$L149+$M149+$N149+$O149+$P149+$Q149)</f>
        <v/>
      </c>
      <c r="S149" s="56">
        <f>IF($E149="","",$E149-$R149)</f>
        <v/>
      </c>
      <c r="T149" s="57">
        <f>IF(OR($E149="",$E149=0),"",$S149/$E149)</f>
        <v/>
      </c>
      <c r="U149" s="38">
        <f>IF($E149="","",$S149*'参数配置'!$B$5)</f>
        <v/>
      </c>
      <c r="V149" s="57">
        <f>IF($E149="","",1-$H149-'参数配置'!$D$20-'参数配置'!$B$8-$G149-'参数配置'!$B$10-'参数配置'!$B$11-IF($E149&lt;='参数配置'!$B$7,'参数配置'!$B$6,0))</f>
        <v/>
      </c>
      <c r="W149" s="56">
        <f>IF($E149="","",$I149+$F149+$L149)</f>
        <v/>
      </c>
      <c r="X149" s="56">
        <f>IF($E149="","",IF($V149&gt;0,$W149/$V149,""))</f>
        <v/>
      </c>
      <c r="Y149" s="56">
        <f>IF($E149="","",IF(($V149-'参数配置'!$B$9)&gt;0,$W149/($V149-'参数配置'!$B$9),""))</f>
        <v/>
      </c>
      <c r="Z149" s="37">
        <f>IF($E149="","",IF(OR($C149="禁售",$C149="需资质"),"⛔"&amp;$C149&amp;"·不应进入利润表",IF($V149&lt;=0,"❗贡献率≤0·任何价都亏损",IF($E149&lt;$X149,"⛔低于保本价·亏损",IF($Y149="","⚠️目标不可达·需降本",IF($E149&lt;$Y149,"⚠️低于红线·未达目标利润率","✅达目标利润率"))))))</f>
        <v/>
      </c>
    </row>
    <row r="150">
      <c r="A150" s="52" t="n"/>
      <c r="B150" s="46">
        <f>IFERROR(VLOOKUP($A150,'SKU主表'!$A:$M,2,0),"")</f>
        <v/>
      </c>
      <c r="C150" s="47">
        <f>IFERROR(VLOOKUP($A150,'SKU主表'!$A:$M,9,0),"")</f>
        <v/>
      </c>
      <c r="D150" s="47">
        <f>IFERROR(VLOOKUP($A150,'SKU主表'!$A:$M,5,0),"")</f>
        <v/>
      </c>
      <c r="E150" s="58" t="n"/>
      <c r="F150" s="58" t="n"/>
      <c r="G150" s="59" t="n"/>
      <c r="H150" s="59">
        <f>'参数配置'!$D$22</f>
        <v/>
      </c>
      <c r="I150" s="56">
        <f>IF($D150="","",$D150/'参数配置'!$B$5)</f>
        <v/>
      </c>
      <c r="J150" s="56">
        <f>IF($E150="","",$E150*$H150)</f>
        <v/>
      </c>
      <c r="K150" s="56">
        <f>IF($E150="","",$E150*'参数配置'!$D$20)</f>
        <v/>
      </c>
      <c r="L150" s="56">
        <f>IF($E150="","",'参数配置'!$D$21)</f>
        <v/>
      </c>
      <c r="M150" s="56">
        <f>IF($E150="","",$E150*'参数配置'!$B$8)</f>
        <v/>
      </c>
      <c r="N150" s="56">
        <f>IF($E150="","",IF($E150&lt;='参数配置'!$B$7,$E150*'参数配置'!$B$6,0))</f>
        <v/>
      </c>
      <c r="O150" s="56">
        <f>IF($E150="","",$E150*$G150)</f>
        <v/>
      </c>
      <c r="P150" s="56">
        <f>IF($E150="","",$E150*'参数配置'!$B$10)</f>
        <v/>
      </c>
      <c r="Q150" s="56">
        <f>IF($E150="","",$E150*'参数配置'!$B$11)</f>
        <v/>
      </c>
      <c r="R150" s="56">
        <f>IF($E150="","",$I150+$F150+$J150+$K150+$L150+$M150+$N150+$O150+$P150+$Q150)</f>
        <v/>
      </c>
      <c r="S150" s="56">
        <f>IF($E150="","",$E150-$R150)</f>
        <v/>
      </c>
      <c r="T150" s="57">
        <f>IF(OR($E150="",$E150=0),"",$S150/$E150)</f>
        <v/>
      </c>
      <c r="U150" s="38">
        <f>IF($E150="","",$S150*'参数配置'!$B$5)</f>
        <v/>
      </c>
      <c r="V150" s="57">
        <f>IF($E150="","",1-$H150-'参数配置'!$D$20-'参数配置'!$B$8-$G150-'参数配置'!$B$10-'参数配置'!$B$11-IF($E150&lt;='参数配置'!$B$7,'参数配置'!$B$6,0))</f>
        <v/>
      </c>
      <c r="W150" s="56">
        <f>IF($E150="","",$I150+$F150+$L150)</f>
        <v/>
      </c>
      <c r="X150" s="56">
        <f>IF($E150="","",IF($V150&gt;0,$W150/$V150,""))</f>
        <v/>
      </c>
      <c r="Y150" s="56">
        <f>IF($E150="","",IF(($V150-'参数配置'!$B$9)&gt;0,$W150/($V150-'参数配置'!$B$9),""))</f>
        <v/>
      </c>
      <c r="Z150" s="37">
        <f>IF($E150="","",IF(OR($C150="禁售",$C150="需资质"),"⛔"&amp;$C150&amp;"·不应进入利润表",IF($V150&lt;=0,"❗贡献率≤0·任何价都亏损",IF($E150&lt;$X150,"⛔低于保本价·亏损",IF($Y150="","⚠️目标不可达·需降本",IF($E150&lt;$Y150,"⚠️低于红线·未达目标利润率","✅达目标利润率"))))))</f>
        <v/>
      </c>
    </row>
    <row r="151">
      <c r="A151" s="52" t="n"/>
      <c r="B151" s="46">
        <f>IFERROR(VLOOKUP($A151,'SKU主表'!$A:$M,2,0),"")</f>
        <v/>
      </c>
      <c r="C151" s="47">
        <f>IFERROR(VLOOKUP($A151,'SKU主表'!$A:$M,9,0),"")</f>
        <v/>
      </c>
      <c r="D151" s="47">
        <f>IFERROR(VLOOKUP($A151,'SKU主表'!$A:$M,5,0),"")</f>
        <v/>
      </c>
      <c r="E151" s="58" t="n"/>
      <c r="F151" s="58" t="n"/>
      <c r="G151" s="59" t="n"/>
      <c r="H151" s="59">
        <f>'参数配置'!$D$22</f>
        <v/>
      </c>
      <c r="I151" s="56">
        <f>IF($D151="","",$D151/'参数配置'!$B$5)</f>
        <v/>
      </c>
      <c r="J151" s="56">
        <f>IF($E151="","",$E151*$H151)</f>
        <v/>
      </c>
      <c r="K151" s="56">
        <f>IF($E151="","",$E151*'参数配置'!$D$20)</f>
        <v/>
      </c>
      <c r="L151" s="56">
        <f>IF($E151="","",'参数配置'!$D$21)</f>
        <v/>
      </c>
      <c r="M151" s="56">
        <f>IF($E151="","",$E151*'参数配置'!$B$8)</f>
        <v/>
      </c>
      <c r="N151" s="56">
        <f>IF($E151="","",IF($E151&lt;='参数配置'!$B$7,$E151*'参数配置'!$B$6,0))</f>
        <v/>
      </c>
      <c r="O151" s="56">
        <f>IF($E151="","",$E151*$G151)</f>
        <v/>
      </c>
      <c r="P151" s="56">
        <f>IF($E151="","",$E151*'参数配置'!$B$10)</f>
        <v/>
      </c>
      <c r="Q151" s="56">
        <f>IF($E151="","",$E151*'参数配置'!$B$11)</f>
        <v/>
      </c>
      <c r="R151" s="56">
        <f>IF($E151="","",$I151+$F151+$J151+$K151+$L151+$M151+$N151+$O151+$P151+$Q151)</f>
        <v/>
      </c>
      <c r="S151" s="56">
        <f>IF($E151="","",$E151-$R151)</f>
        <v/>
      </c>
      <c r="T151" s="57">
        <f>IF(OR($E151="",$E151=0),"",$S151/$E151)</f>
        <v/>
      </c>
      <c r="U151" s="38">
        <f>IF($E151="","",$S151*'参数配置'!$B$5)</f>
        <v/>
      </c>
      <c r="V151" s="57">
        <f>IF($E151="","",1-$H151-'参数配置'!$D$20-'参数配置'!$B$8-$G151-'参数配置'!$B$10-'参数配置'!$B$11-IF($E151&lt;='参数配置'!$B$7,'参数配置'!$B$6,0))</f>
        <v/>
      </c>
      <c r="W151" s="56">
        <f>IF($E151="","",$I151+$F151+$L151)</f>
        <v/>
      </c>
      <c r="X151" s="56">
        <f>IF($E151="","",IF($V151&gt;0,$W151/$V151,""))</f>
        <v/>
      </c>
      <c r="Y151" s="56">
        <f>IF($E151="","",IF(($V151-'参数配置'!$B$9)&gt;0,$W151/($V151-'参数配置'!$B$9),""))</f>
        <v/>
      </c>
      <c r="Z151" s="37">
        <f>IF($E151="","",IF(OR($C151="禁售",$C151="需资质"),"⛔"&amp;$C151&amp;"·不应进入利润表",IF($V151&lt;=0,"❗贡献率≤0·任何价都亏损",IF($E151&lt;$X151,"⛔低于保本价·亏损",IF($Y151="","⚠️目标不可达·需降本",IF($E151&lt;$Y151,"⚠️低于红线·未达目标利润率","✅达目标利润率"))))))</f>
        <v/>
      </c>
    </row>
    <row r="152">
      <c r="A152" s="52" t="n"/>
      <c r="B152" s="46">
        <f>IFERROR(VLOOKUP($A152,'SKU主表'!$A:$M,2,0),"")</f>
        <v/>
      </c>
      <c r="C152" s="47">
        <f>IFERROR(VLOOKUP($A152,'SKU主表'!$A:$M,9,0),"")</f>
        <v/>
      </c>
      <c r="D152" s="47">
        <f>IFERROR(VLOOKUP($A152,'SKU主表'!$A:$M,5,0),"")</f>
        <v/>
      </c>
      <c r="E152" s="58" t="n"/>
      <c r="F152" s="58" t="n"/>
      <c r="G152" s="59" t="n"/>
      <c r="H152" s="59">
        <f>'参数配置'!$D$22</f>
        <v/>
      </c>
      <c r="I152" s="56">
        <f>IF($D152="","",$D152/'参数配置'!$B$5)</f>
        <v/>
      </c>
      <c r="J152" s="56">
        <f>IF($E152="","",$E152*$H152)</f>
        <v/>
      </c>
      <c r="K152" s="56">
        <f>IF($E152="","",$E152*'参数配置'!$D$20)</f>
        <v/>
      </c>
      <c r="L152" s="56">
        <f>IF($E152="","",'参数配置'!$D$21)</f>
        <v/>
      </c>
      <c r="M152" s="56">
        <f>IF($E152="","",$E152*'参数配置'!$B$8)</f>
        <v/>
      </c>
      <c r="N152" s="56">
        <f>IF($E152="","",IF($E152&lt;='参数配置'!$B$7,$E152*'参数配置'!$B$6,0))</f>
        <v/>
      </c>
      <c r="O152" s="56">
        <f>IF($E152="","",$E152*$G152)</f>
        <v/>
      </c>
      <c r="P152" s="56">
        <f>IF($E152="","",$E152*'参数配置'!$B$10)</f>
        <v/>
      </c>
      <c r="Q152" s="56">
        <f>IF($E152="","",$E152*'参数配置'!$B$11)</f>
        <v/>
      </c>
      <c r="R152" s="56">
        <f>IF($E152="","",$I152+$F152+$J152+$K152+$L152+$M152+$N152+$O152+$P152+$Q152)</f>
        <v/>
      </c>
      <c r="S152" s="56">
        <f>IF($E152="","",$E152-$R152)</f>
        <v/>
      </c>
      <c r="T152" s="57">
        <f>IF(OR($E152="",$E152=0),"",$S152/$E152)</f>
        <v/>
      </c>
      <c r="U152" s="38">
        <f>IF($E152="","",$S152*'参数配置'!$B$5)</f>
        <v/>
      </c>
      <c r="V152" s="57">
        <f>IF($E152="","",1-$H152-'参数配置'!$D$20-'参数配置'!$B$8-$G152-'参数配置'!$B$10-'参数配置'!$B$11-IF($E152&lt;='参数配置'!$B$7,'参数配置'!$B$6,0))</f>
        <v/>
      </c>
      <c r="W152" s="56">
        <f>IF($E152="","",$I152+$F152+$L152)</f>
        <v/>
      </c>
      <c r="X152" s="56">
        <f>IF($E152="","",IF($V152&gt;0,$W152/$V152,""))</f>
        <v/>
      </c>
      <c r="Y152" s="56">
        <f>IF($E152="","",IF(($V152-'参数配置'!$B$9)&gt;0,$W152/($V152-'参数配置'!$B$9),""))</f>
        <v/>
      </c>
      <c r="Z152" s="37">
        <f>IF($E152="","",IF(OR($C152="禁售",$C152="需资质"),"⛔"&amp;$C152&amp;"·不应进入利润表",IF($V152&lt;=0,"❗贡献率≤0·任何价都亏损",IF($E152&lt;$X152,"⛔低于保本价·亏损",IF($Y152="","⚠️目标不可达·需降本",IF($E152&lt;$Y152,"⚠️低于红线·未达目标利润率","✅达目标利润率"))))))</f>
        <v/>
      </c>
    </row>
    <row r="153">
      <c r="A153" s="52" t="n"/>
      <c r="B153" s="46">
        <f>IFERROR(VLOOKUP($A153,'SKU主表'!$A:$M,2,0),"")</f>
        <v/>
      </c>
      <c r="C153" s="47">
        <f>IFERROR(VLOOKUP($A153,'SKU主表'!$A:$M,9,0),"")</f>
        <v/>
      </c>
      <c r="D153" s="47">
        <f>IFERROR(VLOOKUP($A153,'SKU主表'!$A:$M,5,0),"")</f>
        <v/>
      </c>
      <c r="E153" s="58" t="n"/>
      <c r="F153" s="58" t="n"/>
      <c r="G153" s="59" t="n"/>
      <c r="H153" s="59">
        <f>'参数配置'!$D$22</f>
        <v/>
      </c>
      <c r="I153" s="56">
        <f>IF($D153="","",$D153/'参数配置'!$B$5)</f>
        <v/>
      </c>
      <c r="J153" s="56">
        <f>IF($E153="","",$E153*$H153)</f>
        <v/>
      </c>
      <c r="K153" s="56">
        <f>IF($E153="","",$E153*'参数配置'!$D$20)</f>
        <v/>
      </c>
      <c r="L153" s="56">
        <f>IF($E153="","",'参数配置'!$D$21)</f>
        <v/>
      </c>
      <c r="M153" s="56">
        <f>IF($E153="","",$E153*'参数配置'!$B$8)</f>
        <v/>
      </c>
      <c r="N153" s="56">
        <f>IF($E153="","",IF($E153&lt;='参数配置'!$B$7,$E153*'参数配置'!$B$6,0))</f>
        <v/>
      </c>
      <c r="O153" s="56">
        <f>IF($E153="","",$E153*$G153)</f>
        <v/>
      </c>
      <c r="P153" s="56">
        <f>IF($E153="","",$E153*'参数配置'!$B$10)</f>
        <v/>
      </c>
      <c r="Q153" s="56">
        <f>IF($E153="","",$E153*'参数配置'!$B$11)</f>
        <v/>
      </c>
      <c r="R153" s="56">
        <f>IF($E153="","",$I153+$F153+$J153+$K153+$L153+$M153+$N153+$O153+$P153+$Q153)</f>
        <v/>
      </c>
      <c r="S153" s="56">
        <f>IF($E153="","",$E153-$R153)</f>
        <v/>
      </c>
      <c r="T153" s="57">
        <f>IF(OR($E153="",$E153=0),"",$S153/$E153)</f>
        <v/>
      </c>
      <c r="U153" s="38">
        <f>IF($E153="","",$S153*'参数配置'!$B$5)</f>
        <v/>
      </c>
      <c r="V153" s="57">
        <f>IF($E153="","",1-$H153-'参数配置'!$D$20-'参数配置'!$B$8-$G153-'参数配置'!$B$10-'参数配置'!$B$11-IF($E153&lt;='参数配置'!$B$7,'参数配置'!$B$6,0))</f>
        <v/>
      </c>
      <c r="W153" s="56">
        <f>IF($E153="","",$I153+$F153+$L153)</f>
        <v/>
      </c>
      <c r="X153" s="56">
        <f>IF($E153="","",IF($V153&gt;0,$W153/$V153,""))</f>
        <v/>
      </c>
      <c r="Y153" s="56">
        <f>IF($E153="","",IF(($V153-'参数配置'!$B$9)&gt;0,$W153/($V153-'参数配置'!$B$9),""))</f>
        <v/>
      </c>
      <c r="Z153" s="37">
        <f>IF($E153="","",IF(OR($C153="禁售",$C153="需资质"),"⛔"&amp;$C153&amp;"·不应进入利润表",IF($V153&lt;=0,"❗贡献率≤0·任何价都亏损",IF($E153&lt;$X153,"⛔低于保本价·亏损",IF($Y153="","⚠️目标不可达·需降本",IF($E153&lt;$Y153,"⚠️低于红线·未达目标利润率","✅达目标利润率"))))))</f>
        <v/>
      </c>
    </row>
    <row r="154">
      <c r="A154" s="52" t="n"/>
      <c r="B154" s="46">
        <f>IFERROR(VLOOKUP($A154,'SKU主表'!$A:$M,2,0),"")</f>
        <v/>
      </c>
      <c r="C154" s="47">
        <f>IFERROR(VLOOKUP($A154,'SKU主表'!$A:$M,9,0),"")</f>
        <v/>
      </c>
      <c r="D154" s="47">
        <f>IFERROR(VLOOKUP($A154,'SKU主表'!$A:$M,5,0),"")</f>
        <v/>
      </c>
      <c r="E154" s="58" t="n"/>
      <c r="F154" s="58" t="n"/>
      <c r="G154" s="59" t="n"/>
      <c r="H154" s="59">
        <f>'参数配置'!$D$22</f>
        <v/>
      </c>
      <c r="I154" s="56">
        <f>IF($D154="","",$D154/'参数配置'!$B$5)</f>
        <v/>
      </c>
      <c r="J154" s="56">
        <f>IF($E154="","",$E154*$H154)</f>
        <v/>
      </c>
      <c r="K154" s="56">
        <f>IF($E154="","",$E154*'参数配置'!$D$20)</f>
        <v/>
      </c>
      <c r="L154" s="56">
        <f>IF($E154="","",'参数配置'!$D$21)</f>
        <v/>
      </c>
      <c r="M154" s="56">
        <f>IF($E154="","",$E154*'参数配置'!$B$8)</f>
        <v/>
      </c>
      <c r="N154" s="56">
        <f>IF($E154="","",IF($E154&lt;='参数配置'!$B$7,$E154*'参数配置'!$B$6,0))</f>
        <v/>
      </c>
      <c r="O154" s="56">
        <f>IF($E154="","",$E154*$G154)</f>
        <v/>
      </c>
      <c r="P154" s="56">
        <f>IF($E154="","",$E154*'参数配置'!$B$10)</f>
        <v/>
      </c>
      <c r="Q154" s="56">
        <f>IF($E154="","",$E154*'参数配置'!$B$11)</f>
        <v/>
      </c>
      <c r="R154" s="56">
        <f>IF($E154="","",$I154+$F154+$J154+$K154+$L154+$M154+$N154+$O154+$P154+$Q154)</f>
        <v/>
      </c>
      <c r="S154" s="56">
        <f>IF($E154="","",$E154-$R154)</f>
        <v/>
      </c>
      <c r="T154" s="57">
        <f>IF(OR($E154="",$E154=0),"",$S154/$E154)</f>
        <v/>
      </c>
      <c r="U154" s="38">
        <f>IF($E154="","",$S154*'参数配置'!$B$5)</f>
        <v/>
      </c>
      <c r="V154" s="57">
        <f>IF($E154="","",1-$H154-'参数配置'!$D$20-'参数配置'!$B$8-$G154-'参数配置'!$B$10-'参数配置'!$B$11-IF($E154&lt;='参数配置'!$B$7,'参数配置'!$B$6,0))</f>
        <v/>
      </c>
      <c r="W154" s="56">
        <f>IF($E154="","",$I154+$F154+$L154)</f>
        <v/>
      </c>
      <c r="X154" s="56">
        <f>IF($E154="","",IF($V154&gt;0,$W154/$V154,""))</f>
        <v/>
      </c>
      <c r="Y154" s="56">
        <f>IF($E154="","",IF(($V154-'参数配置'!$B$9)&gt;0,$W154/($V154-'参数配置'!$B$9),""))</f>
        <v/>
      </c>
      <c r="Z154" s="37">
        <f>IF($E154="","",IF(OR($C154="禁售",$C154="需资质"),"⛔"&amp;$C154&amp;"·不应进入利润表",IF($V154&lt;=0,"❗贡献率≤0·任何价都亏损",IF($E154&lt;$X154,"⛔低于保本价·亏损",IF($Y154="","⚠️目标不可达·需降本",IF($E154&lt;$Y154,"⚠️低于红线·未达目标利润率","✅达目标利润率"))))))</f>
        <v/>
      </c>
    </row>
    <row r="155">
      <c r="A155" s="52" t="n"/>
      <c r="B155" s="46">
        <f>IFERROR(VLOOKUP($A155,'SKU主表'!$A:$M,2,0),"")</f>
        <v/>
      </c>
      <c r="C155" s="47">
        <f>IFERROR(VLOOKUP($A155,'SKU主表'!$A:$M,9,0),"")</f>
        <v/>
      </c>
      <c r="D155" s="47">
        <f>IFERROR(VLOOKUP($A155,'SKU主表'!$A:$M,5,0),"")</f>
        <v/>
      </c>
      <c r="E155" s="58" t="n"/>
      <c r="F155" s="58" t="n"/>
      <c r="G155" s="59" t="n"/>
      <c r="H155" s="59">
        <f>'参数配置'!$D$22</f>
        <v/>
      </c>
      <c r="I155" s="56">
        <f>IF($D155="","",$D155/'参数配置'!$B$5)</f>
        <v/>
      </c>
      <c r="J155" s="56">
        <f>IF($E155="","",$E155*$H155)</f>
        <v/>
      </c>
      <c r="K155" s="56">
        <f>IF($E155="","",$E155*'参数配置'!$D$20)</f>
        <v/>
      </c>
      <c r="L155" s="56">
        <f>IF($E155="","",'参数配置'!$D$21)</f>
        <v/>
      </c>
      <c r="M155" s="56">
        <f>IF($E155="","",$E155*'参数配置'!$B$8)</f>
        <v/>
      </c>
      <c r="N155" s="56">
        <f>IF($E155="","",IF($E155&lt;='参数配置'!$B$7,$E155*'参数配置'!$B$6,0))</f>
        <v/>
      </c>
      <c r="O155" s="56">
        <f>IF($E155="","",$E155*$G155)</f>
        <v/>
      </c>
      <c r="P155" s="56">
        <f>IF($E155="","",$E155*'参数配置'!$B$10)</f>
        <v/>
      </c>
      <c r="Q155" s="56">
        <f>IF($E155="","",$E155*'参数配置'!$B$11)</f>
        <v/>
      </c>
      <c r="R155" s="56">
        <f>IF($E155="","",$I155+$F155+$J155+$K155+$L155+$M155+$N155+$O155+$P155+$Q155)</f>
        <v/>
      </c>
      <c r="S155" s="56">
        <f>IF($E155="","",$E155-$R155)</f>
        <v/>
      </c>
      <c r="T155" s="57">
        <f>IF(OR($E155="",$E155=0),"",$S155/$E155)</f>
        <v/>
      </c>
      <c r="U155" s="38">
        <f>IF($E155="","",$S155*'参数配置'!$B$5)</f>
        <v/>
      </c>
      <c r="V155" s="57">
        <f>IF($E155="","",1-$H155-'参数配置'!$D$20-'参数配置'!$B$8-$G155-'参数配置'!$B$10-'参数配置'!$B$11-IF($E155&lt;='参数配置'!$B$7,'参数配置'!$B$6,0))</f>
        <v/>
      </c>
      <c r="W155" s="56">
        <f>IF($E155="","",$I155+$F155+$L155)</f>
        <v/>
      </c>
      <c r="X155" s="56">
        <f>IF($E155="","",IF($V155&gt;0,$W155/$V155,""))</f>
        <v/>
      </c>
      <c r="Y155" s="56">
        <f>IF($E155="","",IF(($V155-'参数配置'!$B$9)&gt;0,$W155/($V155-'参数配置'!$B$9),""))</f>
        <v/>
      </c>
      <c r="Z155" s="37">
        <f>IF($E155="","",IF(OR($C155="禁售",$C155="需资质"),"⛔"&amp;$C155&amp;"·不应进入利润表",IF($V155&lt;=0,"❗贡献率≤0·任何价都亏损",IF($E155&lt;$X155,"⛔低于保本价·亏损",IF($Y155="","⚠️目标不可达·需降本",IF($E155&lt;$Y155,"⚠️低于红线·未达目标利润率","✅达目标利润率"))))))</f>
        <v/>
      </c>
    </row>
    <row r="156">
      <c r="A156" s="52" t="n"/>
      <c r="B156" s="46">
        <f>IFERROR(VLOOKUP($A156,'SKU主表'!$A:$M,2,0),"")</f>
        <v/>
      </c>
      <c r="C156" s="47">
        <f>IFERROR(VLOOKUP($A156,'SKU主表'!$A:$M,9,0),"")</f>
        <v/>
      </c>
      <c r="D156" s="47">
        <f>IFERROR(VLOOKUP($A156,'SKU主表'!$A:$M,5,0),"")</f>
        <v/>
      </c>
      <c r="E156" s="58" t="n"/>
      <c r="F156" s="58" t="n"/>
      <c r="G156" s="59" t="n"/>
      <c r="H156" s="59">
        <f>'参数配置'!$D$22</f>
        <v/>
      </c>
      <c r="I156" s="56">
        <f>IF($D156="","",$D156/'参数配置'!$B$5)</f>
        <v/>
      </c>
      <c r="J156" s="56">
        <f>IF($E156="","",$E156*$H156)</f>
        <v/>
      </c>
      <c r="K156" s="56">
        <f>IF($E156="","",$E156*'参数配置'!$D$20)</f>
        <v/>
      </c>
      <c r="L156" s="56">
        <f>IF($E156="","",'参数配置'!$D$21)</f>
        <v/>
      </c>
      <c r="M156" s="56">
        <f>IF($E156="","",$E156*'参数配置'!$B$8)</f>
        <v/>
      </c>
      <c r="N156" s="56">
        <f>IF($E156="","",IF($E156&lt;='参数配置'!$B$7,$E156*'参数配置'!$B$6,0))</f>
        <v/>
      </c>
      <c r="O156" s="56">
        <f>IF($E156="","",$E156*$G156)</f>
        <v/>
      </c>
      <c r="P156" s="56">
        <f>IF($E156="","",$E156*'参数配置'!$B$10)</f>
        <v/>
      </c>
      <c r="Q156" s="56">
        <f>IF($E156="","",$E156*'参数配置'!$B$11)</f>
        <v/>
      </c>
      <c r="R156" s="56">
        <f>IF($E156="","",$I156+$F156+$J156+$K156+$L156+$M156+$N156+$O156+$P156+$Q156)</f>
        <v/>
      </c>
      <c r="S156" s="56">
        <f>IF($E156="","",$E156-$R156)</f>
        <v/>
      </c>
      <c r="T156" s="57">
        <f>IF(OR($E156="",$E156=0),"",$S156/$E156)</f>
        <v/>
      </c>
      <c r="U156" s="38">
        <f>IF($E156="","",$S156*'参数配置'!$B$5)</f>
        <v/>
      </c>
      <c r="V156" s="57">
        <f>IF($E156="","",1-$H156-'参数配置'!$D$20-'参数配置'!$B$8-$G156-'参数配置'!$B$10-'参数配置'!$B$11-IF($E156&lt;='参数配置'!$B$7,'参数配置'!$B$6,0))</f>
        <v/>
      </c>
      <c r="W156" s="56">
        <f>IF($E156="","",$I156+$F156+$L156)</f>
        <v/>
      </c>
      <c r="X156" s="56">
        <f>IF($E156="","",IF($V156&gt;0,$W156/$V156,""))</f>
        <v/>
      </c>
      <c r="Y156" s="56">
        <f>IF($E156="","",IF(($V156-'参数配置'!$B$9)&gt;0,$W156/($V156-'参数配置'!$B$9),""))</f>
        <v/>
      </c>
      <c r="Z156" s="37">
        <f>IF($E156="","",IF(OR($C156="禁售",$C156="需资质"),"⛔"&amp;$C156&amp;"·不应进入利润表",IF($V156&lt;=0,"❗贡献率≤0·任何价都亏损",IF($E156&lt;$X156,"⛔低于保本价·亏损",IF($Y156="","⚠️目标不可达·需降本",IF($E156&lt;$Y156,"⚠️低于红线·未达目标利润率","✅达目标利润率"))))))</f>
        <v/>
      </c>
    </row>
    <row r="157">
      <c r="A157" s="52" t="n"/>
      <c r="B157" s="46">
        <f>IFERROR(VLOOKUP($A157,'SKU主表'!$A:$M,2,0),"")</f>
        <v/>
      </c>
      <c r="C157" s="47">
        <f>IFERROR(VLOOKUP($A157,'SKU主表'!$A:$M,9,0),"")</f>
        <v/>
      </c>
      <c r="D157" s="47">
        <f>IFERROR(VLOOKUP($A157,'SKU主表'!$A:$M,5,0),"")</f>
        <v/>
      </c>
      <c r="E157" s="58" t="n"/>
      <c r="F157" s="58" t="n"/>
      <c r="G157" s="59" t="n"/>
      <c r="H157" s="59">
        <f>'参数配置'!$D$22</f>
        <v/>
      </c>
      <c r="I157" s="56">
        <f>IF($D157="","",$D157/'参数配置'!$B$5)</f>
        <v/>
      </c>
      <c r="J157" s="56">
        <f>IF($E157="","",$E157*$H157)</f>
        <v/>
      </c>
      <c r="K157" s="56">
        <f>IF($E157="","",$E157*'参数配置'!$D$20)</f>
        <v/>
      </c>
      <c r="L157" s="56">
        <f>IF($E157="","",'参数配置'!$D$21)</f>
        <v/>
      </c>
      <c r="M157" s="56">
        <f>IF($E157="","",$E157*'参数配置'!$B$8)</f>
        <v/>
      </c>
      <c r="N157" s="56">
        <f>IF($E157="","",IF($E157&lt;='参数配置'!$B$7,$E157*'参数配置'!$B$6,0))</f>
        <v/>
      </c>
      <c r="O157" s="56">
        <f>IF($E157="","",$E157*$G157)</f>
        <v/>
      </c>
      <c r="P157" s="56">
        <f>IF($E157="","",$E157*'参数配置'!$B$10)</f>
        <v/>
      </c>
      <c r="Q157" s="56">
        <f>IF($E157="","",$E157*'参数配置'!$B$11)</f>
        <v/>
      </c>
      <c r="R157" s="56">
        <f>IF($E157="","",$I157+$F157+$J157+$K157+$L157+$M157+$N157+$O157+$P157+$Q157)</f>
        <v/>
      </c>
      <c r="S157" s="56">
        <f>IF($E157="","",$E157-$R157)</f>
        <v/>
      </c>
      <c r="T157" s="57">
        <f>IF(OR($E157="",$E157=0),"",$S157/$E157)</f>
        <v/>
      </c>
      <c r="U157" s="38">
        <f>IF($E157="","",$S157*'参数配置'!$B$5)</f>
        <v/>
      </c>
      <c r="V157" s="57">
        <f>IF($E157="","",1-$H157-'参数配置'!$D$20-'参数配置'!$B$8-$G157-'参数配置'!$B$10-'参数配置'!$B$11-IF($E157&lt;='参数配置'!$B$7,'参数配置'!$B$6,0))</f>
        <v/>
      </c>
      <c r="W157" s="56">
        <f>IF($E157="","",$I157+$F157+$L157)</f>
        <v/>
      </c>
      <c r="X157" s="56">
        <f>IF($E157="","",IF($V157&gt;0,$W157/$V157,""))</f>
        <v/>
      </c>
      <c r="Y157" s="56">
        <f>IF($E157="","",IF(($V157-'参数配置'!$B$9)&gt;0,$W157/($V157-'参数配置'!$B$9),""))</f>
        <v/>
      </c>
      <c r="Z157" s="37">
        <f>IF($E157="","",IF(OR($C157="禁售",$C157="需资质"),"⛔"&amp;$C157&amp;"·不应进入利润表",IF($V157&lt;=0,"❗贡献率≤0·任何价都亏损",IF($E157&lt;$X157,"⛔低于保本价·亏损",IF($Y157="","⚠️目标不可达·需降本",IF($E157&lt;$Y157,"⚠️低于红线·未达目标利润率","✅达目标利润率"))))))</f>
        <v/>
      </c>
    </row>
    <row r="158">
      <c r="A158" s="52" t="n"/>
      <c r="B158" s="46">
        <f>IFERROR(VLOOKUP($A158,'SKU主表'!$A:$M,2,0),"")</f>
        <v/>
      </c>
      <c r="C158" s="47">
        <f>IFERROR(VLOOKUP($A158,'SKU主表'!$A:$M,9,0),"")</f>
        <v/>
      </c>
      <c r="D158" s="47">
        <f>IFERROR(VLOOKUP($A158,'SKU主表'!$A:$M,5,0),"")</f>
        <v/>
      </c>
      <c r="E158" s="58" t="n"/>
      <c r="F158" s="58" t="n"/>
      <c r="G158" s="59" t="n"/>
      <c r="H158" s="59">
        <f>'参数配置'!$D$22</f>
        <v/>
      </c>
      <c r="I158" s="56">
        <f>IF($D158="","",$D158/'参数配置'!$B$5)</f>
        <v/>
      </c>
      <c r="J158" s="56">
        <f>IF($E158="","",$E158*$H158)</f>
        <v/>
      </c>
      <c r="K158" s="56">
        <f>IF($E158="","",$E158*'参数配置'!$D$20)</f>
        <v/>
      </c>
      <c r="L158" s="56">
        <f>IF($E158="","",'参数配置'!$D$21)</f>
        <v/>
      </c>
      <c r="M158" s="56">
        <f>IF($E158="","",$E158*'参数配置'!$B$8)</f>
        <v/>
      </c>
      <c r="N158" s="56">
        <f>IF($E158="","",IF($E158&lt;='参数配置'!$B$7,$E158*'参数配置'!$B$6,0))</f>
        <v/>
      </c>
      <c r="O158" s="56">
        <f>IF($E158="","",$E158*$G158)</f>
        <v/>
      </c>
      <c r="P158" s="56">
        <f>IF($E158="","",$E158*'参数配置'!$B$10)</f>
        <v/>
      </c>
      <c r="Q158" s="56">
        <f>IF($E158="","",$E158*'参数配置'!$B$11)</f>
        <v/>
      </c>
      <c r="R158" s="56">
        <f>IF($E158="","",$I158+$F158+$J158+$K158+$L158+$M158+$N158+$O158+$P158+$Q158)</f>
        <v/>
      </c>
      <c r="S158" s="56">
        <f>IF($E158="","",$E158-$R158)</f>
        <v/>
      </c>
      <c r="T158" s="57">
        <f>IF(OR($E158="",$E158=0),"",$S158/$E158)</f>
        <v/>
      </c>
      <c r="U158" s="38">
        <f>IF($E158="","",$S158*'参数配置'!$B$5)</f>
        <v/>
      </c>
      <c r="V158" s="57">
        <f>IF($E158="","",1-$H158-'参数配置'!$D$20-'参数配置'!$B$8-$G158-'参数配置'!$B$10-'参数配置'!$B$11-IF($E158&lt;='参数配置'!$B$7,'参数配置'!$B$6,0))</f>
        <v/>
      </c>
      <c r="W158" s="56">
        <f>IF($E158="","",$I158+$F158+$L158)</f>
        <v/>
      </c>
      <c r="X158" s="56">
        <f>IF($E158="","",IF($V158&gt;0,$W158/$V158,""))</f>
        <v/>
      </c>
      <c r="Y158" s="56">
        <f>IF($E158="","",IF(($V158-'参数配置'!$B$9)&gt;0,$W158/($V158-'参数配置'!$B$9),""))</f>
        <v/>
      </c>
      <c r="Z158" s="37">
        <f>IF($E158="","",IF(OR($C158="禁售",$C158="需资质"),"⛔"&amp;$C158&amp;"·不应进入利润表",IF($V158&lt;=0,"❗贡献率≤0·任何价都亏损",IF($E158&lt;$X158,"⛔低于保本价·亏损",IF($Y158="","⚠️目标不可达·需降本",IF($E158&lt;$Y158,"⚠️低于红线·未达目标利润率","✅达目标利润率"))))))</f>
        <v/>
      </c>
    </row>
    <row r="159">
      <c r="A159" s="52" t="n"/>
      <c r="B159" s="46">
        <f>IFERROR(VLOOKUP($A159,'SKU主表'!$A:$M,2,0),"")</f>
        <v/>
      </c>
      <c r="C159" s="47">
        <f>IFERROR(VLOOKUP($A159,'SKU主表'!$A:$M,9,0),"")</f>
        <v/>
      </c>
      <c r="D159" s="47">
        <f>IFERROR(VLOOKUP($A159,'SKU主表'!$A:$M,5,0),"")</f>
        <v/>
      </c>
      <c r="E159" s="58" t="n"/>
      <c r="F159" s="58" t="n"/>
      <c r="G159" s="59" t="n"/>
      <c r="H159" s="59">
        <f>'参数配置'!$D$22</f>
        <v/>
      </c>
      <c r="I159" s="56">
        <f>IF($D159="","",$D159/'参数配置'!$B$5)</f>
        <v/>
      </c>
      <c r="J159" s="56">
        <f>IF($E159="","",$E159*$H159)</f>
        <v/>
      </c>
      <c r="K159" s="56">
        <f>IF($E159="","",$E159*'参数配置'!$D$20)</f>
        <v/>
      </c>
      <c r="L159" s="56">
        <f>IF($E159="","",'参数配置'!$D$21)</f>
        <v/>
      </c>
      <c r="M159" s="56">
        <f>IF($E159="","",$E159*'参数配置'!$B$8)</f>
        <v/>
      </c>
      <c r="N159" s="56">
        <f>IF($E159="","",IF($E159&lt;='参数配置'!$B$7,$E159*'参数配置'!$B$6,0))</f>
        <v/>
      </c>
      <c r="O159" s="56">
        <f>IF($E159="","",$E159*$G159)</f>
        <v/>
      </c>
      <c r="P159" s="56">
        <f>IF($E159="","",$E159*'参数配置'!$B$10)</f>
        <v/>
      </c>
      <c r="Q159" s="56">
        <f>IF($E159="","",$E159*'参数配置'!$B$11)</f>
        <v/>
      </c>
      <c r="R159" s="56">
        <f>IF($E159="","",$I159+$F159+$J159+$K159+$L159+$M159+$N159+$O159+$P159+$Q159)</f>
        <v/>
      </c>
      <c r="S159" s="56">
        <f>IF($E159="","",$E159-$R159)</f>
        <v/>
      </c>
      <c r="T159" s="57">
        <f>IF(OR($E159="",$E159=0),"",$S159/$E159)</f>
        <v/>
      </c>
      <c r="U159" s="38">
        <f>IF($E159="","",$S159*'参数配置'!$B$5)</f>
        <v/>
      </c>
      <c r="V159" s="57">
        <f>IF($E159="","",1-$H159-'参数配置'!$D$20-'参数配置'!$B$8-$G159-'参数配置'!$B$10-'参数配置'!$B$11-IF($E159&lt;='参数配置'!$B$7,'参数配置'!$B$6,0))</f>
        <v/>
      </c>
      <c r="W159" s="56">
        <f>IF($E159="","",$I159+$F159+$L159)</f>
        <v/>
      </c>
      <c r="X159" s="56">
        <f>IF($E159="","",IF($V159&gt;0,$W159/$V159,""))</f>
        <v/>
      </c>
      <c r="Y159" s="56">
        <f>IF($E159="","",IF(($V159-'参数配置'!$B$9)&gt;0,$W159/($V159-'参数配置'!$B$9),""))</f>
        <v/>
      </c>
      <c r="Z159" s="37">
        <f>IF($E159="","",IF(OR($C159="禁售",$C159="需资质"),"⛔"&amp;$C159&amp;"·不应进入利润表",IF($V159&lt;=0,"❗贡献率≤0·任何价都亏损",IF($E159&lt;$X159,"⛔低于保本价·亏损",IF($Y159="","⚠️目标不可达·需降本",IF($E159&lt;$Y159,"⚠️低于红线·未达目标利润率","✅达目标利润率"))))))</f>
        <v/>
      </c>
    </row>
    <row r="160">
      <c r="A160" s="52" t="n"/>
      <c r="B160" s="46">
        <f>IFERROR(VLOOKUP($A160,'SKU主表'!$A:$M,2,0),"")</f>
        <v/>
      </c>
      <c r="C160" s="47">
        <f>IFERROR(VLOOKUP($A160,'SKU主表'!$A:$M,9,0),"")</f>
        <v/>
      </c>
      <c r="D160" s="47">
        <f>IFERROR(VLOOKUP($A160,'SKU主表'!$A:$M,5,0),"")</f>
        <v/>
      </c>
      <c r="E160" s="58" t="n"/>
      <c r="F160" s="58" t="n"/>
      <c r="G160" s="59" t="n"/>
      <c r="H160" s="59">
        <f>'参数配置'!$D$22</f>
        <v/>
      </c>
      <c r="I160" s="56">
        <f>IF($D160="","",$D160/'参数配置'!$B$5)</f>
        <v/>
      </c>
      <c r="J160" s="56">
        <f>IF($E160="","",$E160*$H160)</f>
        <v/>
      </c>
      <c r="K160" s="56">
        <f>IF($E160="","",$E160*'参数配置'!$D$20)</f>
        <v/>
      </c>
      <c r="L160" s="56">
        <f>IF($E160="","",'参数配置'!$D$21)</f>
        <v/>
      </c>
      <c r="M160" s="56">
        <f>IF($E160="","",$E160*'参数配置'!$B$8)</f>
        <v/>
      </c>
      <c r="N160" s="56">
        <f>IF($E160="","",IF($E160&lt;='参数配置'!$B$7,$E160*'参数配置'!$B$6,0))</f>
        <v/>
      </c>
      <c r="O160" s="56">
        <f>IF($E160="","",$E160*$G160)</f>
        <v/>
      </c>
      <c r="P160" s="56">
        <f>IF($E160="","",$E160*'参数配置'!$B$10)</f>
        <v/>
      </c>
      <c r="Q160" s="56">
        <f>IF($E160="","",$E160*'参数配置'!$B$11)</f>
        <v/>
      </c>
      <c r="R160" s="56">
        <f>IF($E160="","",$I160+$F160+$J160+$K160+$L160+$M160+$N160+$O160+$P160+$Q160)</f>
        <v/>
      </c>
      <c r="S160" s="56">
        <f>IF($E160="","",$E160-$R160)</f>
        <v/>
      </c>
      <c r="T160" s="57">
        <f>IF(OR($E160="",$E160=0),"",$S160/$E160)</f>
        <v/>
      </c>
      <c r="U160" s="38">
        <f>IF($E160="","",$S160*'参数配置'!$B$5)</f>
        <v/>
      </c>
      <c r="V160" s="57">
        <f>IF($E160="","",1-$H160-'参数配置'!$D$20-'参数配置'!$B$8-$G160-'参数配置'!$B$10-'参数配置'!$B$11-IF($E160&lt;='参数配置'!$B$7,'参数配置'!$B$6,0))</f>
        <v/>
      </c>
      <c r="W160" s="56">
        <f>IF($E160="","",$I160+$F160+$L160)</f>
        <v/>
      </c>
      <c r="X160" s="56">
        <f>IF($E160="","",IF($V160&gt;0,$W160/$V160,""))</f>
        <v/>
      </c>
      <c r="Y160" s="56">
        <f>IF($E160="","",IF(($V160-'参数配置'!$B$9)&gt;0,$W160/($V160-'参数配置'!$B$9),""))</f>
        <v/>
      </c>
      <c r="Z160" s="37">
        <f>IF($E160="","",IF(OR($C160="禁售",$C160="需资质"),"⛔"&amp;$C160&amp;"·不应进入利润表",IF($V160&lt;=0,"❗贡献率≤0·任何价都亏损",IF($E160&lt;$X160,"⛔低于保本价·亏损",IF($Y160="","⚠️目标不可达·需降本",IF($E160&lt;$Y160,"⚠️低于红线·未达目标利润率","✅达目标利润率"))))))</f>
        <v/>
      </c>
    </row>
    <row r="161">
      <c r="A161" s="52" t="n"/>
      <c r="B161" s="46">
        <f>IFERROR(VLOOKUP($A161,'SKU主表'!$A:$M,2,0),"")</f>
        <v/>
      </c>
      <c r="C161" s="47">
        <f>IFERROR(VLOOKUP($A161,'SKU主表'!$A:$M,9,0),"")</f>
        <v/>
      </c>
      <c r="D161" s="47">
        <f>IFERROR(VLOOKUP($A161,'SKU主表'!$A:$M,5,0),"")</f>
        <v/>
      </c>
      <c r="E161" s="58" t="n"/>
      <c r="F161" s="58" t="n"/>
      <c r="G161" s="59" t="n"/>
      <c r="H161" s="59">
        <f>'参数配置'!$D$22</f>
        <v/>
      </c>
      <c r="I161" s="56">
        <f>IF($D161="","",$D161/'参数配置'!$B$5)</f>
        <v/>
      </c>
      <c r="J161" s="56">
        <f>IF($E161="","",$E161*$H161)</f>
        <v/>
      </c>
      <c r="K161" s="56">
        <f>IF($E161="","",$E161*'参数配置'!$D$20)</f>
        <v/>
      </c>
      <c r="L161" s="56">
        <f>IF($E161="","",'参数配置'!$D$21)</f>
        <v/>
      </c>
      <c r="M161" s="56">
        <f>IF($E161="","",$E161*'参数配置'!$B$8)</f>
        <v/>
      </c>
      <c r="N161" s="56">
        <f>IF($E161="","",IF($E161&lt;='参数配置'!$B$7,$E161*'参数配置'!$B$6,0))</f>
        <v/>
      </c>
      <c r="O161" s="56">
        <f>IF($E161="","",$E161*$G161)</f>
        <v/>
      </c>
      <c r="P161" s="56">
        <f>IF($E161="","",$E161*'参数配置'!$B$10)</f>
        <v/>
      </c>
      <c r="Q161" s="56">
        <f>IF($E161="","",$E161*'参数配置'!$B$11)</f>
        <v/>
      </c>
      <c r="R161" s="56">
        <f>IF($E161="","",$I161+$F161+$J161+$K161+$L161+$M161+$N161+$O161+$P161+$Q161)</f>
        <v/>
      </c>
      <c r="S161" s="56">
        <f>IF($E161="","",$E161-$R161)</f>
        <v/>
      </c>
      <c r="T161" s="57">
        <f>IF(OR($E161="",$E161=0),"",$S161/$E161)</f>
        <v/>
      </c>
      <c r="U161" s="38">
        <f>IF($E161="","",$S161*'参数配置'!$B$5)</f>
        <v/>
      </c>
      <c r="V161" s="57">
        <f>IF($E161="","",1-$H161-'参数配置'!$D$20-'参数配置'!$B$8-$G161-'参数配置'!$B$10-'参数配置'!$B$11-IF($E161&lt;='参数配置'!$B$7,'参数配置'!$B$6,0))</f>
        <v/>
      </c>
      <c r="W161" s="56">
        <f>IF($E161="","",$I161+$F161+$L161)</f>
        <v/>
      </c>
      <c r="X161" s="56">
        <f>IF($E161="","",IF($V161&gt;0,$W161/$V161,""))</f>
        <v/>
      </c>
      <c r="Y161" s="56">
        <f>IF($E161="","",IF(($V161-'参数配置'!$B$9)&gt;0,$W161/($V161-'参数配置'!$B$9),""))</f>
        <v/>
      </c>
      <c r="Z161" s="37">
        <f>IF($E161="","",IF(OR($C161="禁售",$C161="需资质"),"⛔"&amp;$C161&amp;"·不应进入利润表",IF($V161&lt;=0,"❗贡献率≤0·任何价都亏损",IF($E161&lt;$X161,"⛔低于保本价·亏损",IF($Y161="","⚠️目标不可达·需降本",IF($E161&lt;$Y161,"⚠️低于红线·未达目标利润率","✅达目标利润率"))))))</f>
        <v/>
      </c>
    </row>
    <row r="162">
      <c r="A162" s="52" t="n"/>
      <c r="B162" s="46">
        <f>IFERROR(VLOOKUP($A162,'SKU主表'!$A:$M,2,0),"")</f>
        <v/>
      </c>
      <c r="C162" s="47">
        <f>IFERROR(VLOOKUP($A162,'SKU主表'!$A:$M,9,0),"")</f>
        <v/>
      </c>
      <c r="D162" s="47">
        <f>IFERROR(VLOOKUP($A162,'SKU主表'!$A:$M,5,0),"")</f>
        <v/>
      </c>
      <c r="E162" s="58" t="n"/>
      <c r="F162" s="58" t="n"/>
      <c r="G162" s="59" t="n"/>
      <c r="H162" s="59">
        <f>'参数配置'!$D$22</f>
        <v/>
      </c>
      <c r="I162" s="56">
        <f>IF($D162="","",$D162/'参数配置'!$B$5)</f>
        <v/>
      </c>
      <c r="J162" s="56">
        <f>IF($E162="","",$E162*$H162)</f>
        <v/>
      </c>
      <c r="K162" s="56">
        <f>IF($E162="","",$E162*'参数配置'!$D$20)</f>
        <v/>
      </c>
      <c r="L162" s="56">
        <f>IF($E162="","",'参数配置'!$D$21)</f>
        <v/>
      </c>
      <c r="M162" s="56">
        <f>IF($E162="","",$E162*'参数配置'!$B$8)</f>
        <v/>
      </c>
      <c r="N162" s="56">
        <f>IF($E162="","",IF($E162&lt;='参数配置'!$B$7,$E162*'参数配置'!$B$6,0))</f>
        <v/>
      </c>
      <c r="O162" s="56">
        <f>IF($E162="","",$E162*$G162)</f>
        <v/>
      </c>
      <c r="P162" s="56">
        <f>IF($E162="","",$E162*'参数配置'!$B$10)</f>
        <v/>
      </c>
      <c r="Q162" s="56">
        <f>IF($E162="","",$E162*'参数配置'!$B$11)</f>
        <v/>
      </c>
      <c r="R162" s="56">
        <f>IF($E162="","",$I162+$F162+$J162+$K162+$L162+$M162+$N162+$O162+$P162+$Q162)</f>
        <v/>
      </c>
      <c r="S162" s="56">
        <f>IF($E162="","",$E162-$R162)</f>
        <v/>
      </c>
      <c r="T162" s="57">
        <f>IF(OR($E162="",$E162=0),"",$S162/$E162)</f>
        <v/>
      </c>
      <c r="U162" s="38">
        <f>IF($E162="","",$S162*'参数配置'!$B$5)</f>
        <v/>
      </c>
      <c r="V162" s="57">
        <f>IF($E162="","",1-$H162-'参数配置'!$D$20-'参数配置'!$B$8-$G162-'参数配置'!$B$10-'参数配置'!$B$11-IF($E162&lt;='参数配置'!$B$7,'参数配置'!$B$6,0))</f>
        <v/>
      </c>
      <c r="W162" s="56">
        <f>IF($E162="","",$I162+$F162+$L162)</f>
        <v/>
      </c>
      <c r="X162" s="56">
        <f>IF($E162="","",IF($V162&gt;0,$W162/$V162,""))</f>
        <v/>
      </c>
      <c r="Y162" s="56">
        <f>IF($E162="","",IF(($V162-'参数配置'!$B$9)&gt;0,$W162/($V162-'参数配置'!$B$9),""))</f>
        <v/>
      </c>
      <c r="Z162" s="37">
        <f>IF($E162="","",IF(OR($C162="禁售",$C162="需资质"),"⛔"&amp;$C162&amp;"·不应进入利润表",IF($V162&lt;=0,"❗贡献率≤0·任何价都亏损",IF($E162&lt;$X162,"⛔低于保本价·亏损",IF($Y162="","⚠️目标不可达·需降本",IF($E162&lt;$Y162,"⚠️低于红线·未达目标利润率","✅达目标利润率"))))))</f>
        <v/>
      </c>
    </row>
    <row r="163">
      <c r="A163" s="52" t="n"/>
      <c r="B163" s="46">
        <f>IFERROR(VLOOKUP($A163,'SKU主表'!$A:$M,2,0),"")</f>
        <v/>
      </c>
      <c r="C163" s="47">
        <f>IFERROR(VLOOKUP($A163,'SKU主表'!$A:$M,9,0),"")</f>
        <v/>
      </c>
      <c r="D163" s="47">
        <f>IFERROR(VLOOKUP($A163,'SKU主表'!$A:$M,5,0),"")</f>
        <v/>
      </c>
      <c r="E163" s="58" t="n"/>
      <c r="F163" s="58" t="n"/>
      <c r="G163" s="59" t="n"/>
      <c r="H163" s="59">
        <f>'参数配置'!$D$22</f>
        <v/>
      </c>
      <c r="I163" s="56">
        <f>IF($D163="","",$D163/'参数配置'!$B$5)</f>
        <v/>
      </c>
      <c r="J163" s="56">
        <f>IF($E163="","",$E163*$H163)</f>
        <v/>
      </c>
      <c r="K163" s="56">
        <f>IF($E163="","",$E163*'参数配置'!$D$20)</f>
        <v/>
      </c>
      <c r="L163" s="56">
        <f>IF($E163="","",'参数配置'!$D$21)</f>
        <v/>
      </c>
      <c r="M163" s="56">
        <f>IF($E163="","",$E163*'参数配置'!$B$8)</f>
        <v/>
      </c>
      <c r="N163" s="56">
        <f>IF($E163="","",IF($E163&lt;='参数配置'!$B$7,$E163*'参数配置'!$B$6,0))</f>
        <v/>
      </c>
      <c r="O163" s="56">
        <f>IF($E163="","",$E163*$G163)</f>
        <v/>
      </c>
      <c r="P163" s="56">
        <f>IF($E163="","",$E163*'参数配置'!$B$10)</f>
        <v/>
      </c>
      <c r="Q163" s="56">
        <f>IF($E163="","",$E163*'参数配置'!$B$11)</f>
        <v/>
      </c>
      <c r="R163" s="56">
        <f>IF($E163="","",$I163+$F163+$J163+$K163+$L163+$M163+$N163+$O163+$P163+$Q163)</f>
        <v/>
      </c>
      <c r="S163" s="56">
        <f>IF($E163="","",$E163-$R163)</f>
        <v/>
      </c>
      <c r="T163" s="57">
        <f>IF(OR($E163="",$E163=0),"",$S163/$E163)</f>
        <v/>
      </c>
      <c r="U163" s="38">
        <f>IF($E163="","",$S163*'参数配置'!$B$5)</f>
        <v/>
      </c>
      <c r="V163" s="57">
        <f>IF($E163="","",1-$H163-'参数配置'!$D$20-'参数配置'!$B$8-$G163-'参数配置'!$B$10-'参数配置'!$B$11-IF($E163&lt;='参数配置'!$B$7,'参数配置'!$B$6,0))</f>
        <v/>
      </c>
      <c r="W163" s="56">
        <f>IF($E163="","",$I163+$F163+$L163)</f>
        <v/>
      </c>
      <c r="X163" s="56">
        <f>IF($E163="","",IF($V163&gt;0,$W163/$V163,""))</f>
        <v/>
      </c>
      <c r="Y163" s="56">
        <f>IF($E163="","",IF(($V163-'参数配置'!$B$9)&gt;0,$W163/($V163-'参数配置'!$B$9),""))</f>
        <v/>
      </c>
      <c r="Z163" s="37">
        <f>IF($E163="","",IF(OR($C163="禁售",$C163="需资质"),"⛔"&amp;$C163&amp;"·不应进入利润表",IF($V163&lt;=0,"❗贡献率≤0·任何价都亏损",IF($E163&lt;$X163,"⛔低于保本价·亏损",IF($Y163="","⚠️目标不可达·需降本",IF($E163&lt;$Y163,"⚠️低于红线·未达目标利润率","✅达目标利润率"))))))</f>
        <v/>
      </c>
    </row>
    <row r="164">
      <c r="A164" s="52" t="n"/>
      <c r="B164" s="46">
        <f>IFERROR(VLOOKUP($A164,'SKU主表'!$A:$M,2,0),"")</f>
        <v/>
      </c>
      <c r="C164" s="47">
        <f>IFERROR(VLOOKUP($A164,'SKU主表'!$A:$M,9,0),"")</f>
        <v/>
      </c>
      <c r="D164" s="47">
        <f>IFERROR(VLOOKUP($A164,'SKU主表'!$A:$M,5,0),"")</f>
        <v/>
      </c>
      <c r="E164" s="58" t="n"/>
      <c r="F164" s="58" t="n"/>
      <c r="G164" s="59" t="n"/>
      <c r="H164" s="59">
        <f>'参数配置'!$D$22</f>
        <v/>
      </c>
      <c r="I164" s="56">
        <f>IF($D164="","",$D164/'参数配置'!$B$5)</f>
        <v/>
      </c>
      <c r="J164" s="56">
        <f>IF($E164="","",$E164*$H164)</f>
        <v/>
      </c>
      <c r="K164" s="56">
        <f>IF($E164="","",$E164*'参数配置'!$D$20)</f>
        <v/>
      </c>
      <c r="L164" s="56">
        <f>IF($E164="","",'参数配置'!$D$21)</f>
        <v/>
      </c>
      <c r="M164" s="56">
        <f>IF($E164="","",$E164*'参数配置'!$B$8)</f>
        <v/>
      </c>
      <c r="N164" s="56">
        <f>IF($E164="","",IF($E164&lt;='参数配置'!$B$7,$E164*'参数配置'!$B$6,0))</f>
        <v/>
      </c>
      <c r="O164" s="56">
        <f>IF($E164="","",$E164*$G164)</f>
        <v/>
      </c>
      <c r="P164" s="56">
        <f>IF($E164="","",$E164*'参数配置'!$B$10)</f>
        <v/>
      </c>
      <c r="Q164" s="56">
        <f>IF($E164="","",$E164*'参数配置'!$B$11)</f>
        <v/>
      </c>
      <c r="R164" s="56">
        <f>IF($E164="","",$I164+$F164+$J164+$K164+$L164+$M164+$N164+$O164+$P164+$Q164)</f>
        <v/>
      </c>
      <c r="S164" s="56">
        <f>IF($E164="","",$E164-$R164)</f>
        <v/>
      </c>
      <c r="T164" s="57">
        <f>IF(OR($E164="",$E164=0),"",$S164/$E164)</f>
        <v/>
      </c>
      <c r="U164" s="38">
        <f>IF($E164="","",$S164*'参数配置'!$B$5)</f>
        <v/>
      </c>
      <c r="V164" s="57">
        <f>IF($E164="","",1-$H164-'参数配置'!$D$20-'参数配置'!$B$8-$G164-'参数配置'!$B$10-'参数配置'!$B$11-IF($E164&lt;='参数配置'!$B$7,'参数配置'!$B$6,0))</f>
        <v/>
      </c>
      <c r="W164" s="56">
        <f>IF($E164="","",$I164+$F164+$L164)</f>
        <v/>
      </c>
      <c r="X164" s="56">
        <f>IF($E164="","",IF($V164&gt;0,$W164/$V164,""))</f>
        <v/>
      </c>
      <c r="Y164" s="56">
        <f>IF($E164="","",IF(($V164-'参数配置'!$B$9)&gt;0,$W164/($V164-'参数配置'!$B$9),""))</f>
        <v/>
      </c>
      <c r="Z164" s="37">
        <f>IF($E164="","",IF(OR($C164="禁售",$C164="需资质"),"⛔"&amp;$C164&amp;"·不应进入利润表",IF($V164&lt;=0,"❗贡献率≤0·任何价都亏损",IF($E164&lt;$X164,"⛔低于保本价·亏损",IF($Y164="","⚠️目标不可达·需降本",IF($E164&lt;$Y164,"⚠️低于红线·未达目标利润率","✅达目标利润率"))))))</f>
        <v/>
      </c>
    </row>
    <row r="165">
      <c r="A165" s="52" t="n"/>
      <c r="B165" s="46">
        <f>IFERROR(VLOOKUP($A165,'SKU主表'!$A:$M,2,0),"")</f>
        <v/>
      </c>
      <c r="C165" s="47">
        <f>IFERROR(VLOOKUP($A165,'SKU主表'!$A:$M,9,0),"")</f>
        <v/>
      </c>
      <c r="D165" s="47">
        <f>IFERROR(VLOOKUP($A165,'SKU主表'!$A:$M,5,0),"")</f>
        <v/>
      </c>
      <c r="E165" s="58" t="n"/>
      <c r="F165" s="58" t="n"/>
      <c r="G165" s="59" t="n"/>
      <c r="H165" s="59">
        <f>'参数配置'!$D$22</f>
        <v/>
      </c>
      <c r="I165" s="56">
        <f>IF($D165="","",$D165/'参数配置'!$B$5)</f>
        <v/>
      </c>
      <c r="J165" s="56">
        <f>IF($E165="","",$E165*$H165)</f>
        <v/>
      </c>
      <c r="K165" s="56">
        <f>IF($E165="","",$E165*'参数配置'!$D$20)</f>
        <v/>
      </c>
      <c r="L165" s="56">
        <f>IF($E165="","",'参数配置'!$D$21)</f>
        <v/>
      </c>
      <c r="M165" s="56">
        <f>IF($E165="","",$E165*'参数配置'!$B$8)</f>
        <v/>
      </c>
      <c r="N165" s="56">
        <f>IF($E165="","",IF($E165&lt;='参数配置'!$B$7,$E165*'参数配置'!$B$6,0))</f>
        <v/>
      </c>
      <c r="O165" s="56">
        <f>IF($E165="","",$E165*$G165)</f>
        <v/>
      </c>
      <c r="P165" s="56">
        <f>IF($E165="","",$E165*'参数配置'!$B$10)</f>
        <v/>
      </c>
      <c r="Q165" s="56">
        <f>IF($E165="","",$E165*'参数配置'!$B$11)</f>
        <v/>
      </c>
      <c r="R165" s="56">
        <f>IF($E165="","",$I165+$F165+$J165+$K165+$L165+$M165+$N165+$O165+$P165+$Q165)</f>
        <v/>
      </c>
      <c r="S165" s="56">
        <f>IF($E165="","",$E165-$R165)</f>
        <v/>
      </c>
      <c r="T165" s="57">
        <f>IF(OR($E165="",$E165=0),"",$S165/$E165)</f>
        <v/>
      </c>
      <c r="U165" s="38">
        <f>IF($E165="","",$S165*'参数配置'!$B$5)</f>
        <v/>
      </c>
      <c r="V165" s="57">
        <f>IF($E165="","",1-$H165-'参数配置'!$D$20-'参数配置'!$B$8-$G165-'参数配置'!$B$10-'参数配置'!$B$11-IF($E165&lt;='参数配置'!$B$7,'参数配置'!$B$6,0))</f>
        <v/>
      </c>
      <c r="W165" s="56">
        <f>IF($E165="","",$I165+$F165+$L165)</f>
        <v/>
      </c>
      <c r="X165" s="56">
        <f>IF($E165="","",IF($V165&gt;0,$W165/$V165,""))</f>
        <v/>
      </c>
      <c r="Y165" s="56">
        <f>IF($E165="","",IF(($V165-'参数配置'!$B$9)&gt;0,$W165/($V165-'参数配置'!$B$9),""))</f>
        <v/>
      </c>
      <c r="Z165" s="37">
        <f>IF($E165="","",IF(OR($C165="禁售",$C165="需资质"),"⛔"&amp;$C165&amp;"·不应进入利润表",IF($V165&lt;=0,"❗贡献率≤0·任何价都亏损",IF($E165&lt;$X165,"⛔低于保本价·亏损",IF($Y165="","⚠️目标不可达·需降本",IF($E165&lt;$Y165,"⚠️低于红线·未达目标利润率","✅达目标利润率"))))))</f>
        <v/>
      </c>
    </row>
    <row r="166">
      <c r="A166" s="52" t="n"/>
      <c r="B166" s="46">
        <f>IFERROR(VLOOKUP($A166,'SKU主表'!$A:$M,2,0),"")</f>
        <v/>
      </c>
      <c r="C166" s="47">
        <f>IFERROR(VLOOKUP($A166,'SKU主表'!$A:$M,9,0),"")</f>
        <v/>
      </c>
      <c r="D166" s="47">
        <f>IFERROR(VLOOKUP($A166,'SKU主表'!$A:$M,5,0),"")</f>
        <v/>
      </c>
      <c r="E166" s="58" t="n"/>
      <c r="F166" s="58" t="n"/>
      <c r="G166" s="59" t="n"/>
      <c r="H166" s="59">
        <f>'参数配置'!$D$22</f>
        <v/>
      </c>
      <c r="I166" s="56">
        <f>IF($D166="","",$D166/'参数配置'!$B$5)</f>
        <v/>
      </c>
      <c r="J166" s="56">
        <f>IF($E166="","",$E166*$H166)</f>
        <v/>
      </c>
      <c r="K166" s="56">
        <f>IF($E166="","",$E166*'参数配置'!$D$20)</f>
        <v/>
      </c>
      <c r="L166" s="56">
        <f>IF($E166="","",'参数配置'!$D$21)</f>
        <v/>
      </c>
      <c r="M166" s="56">
        <f>IF($E166="","",$E166*'参数配置'!$B$8)</f>
        <v/>
      </c>
      <c r="N166" s="56">
        <f>IF($E166="","",IF($E166&lt;='参数配置'!$B$7,$E166*'参数配置'!$B$6,0))</f>
        <v/>
      </c>
      <c r="O166" s="56">
        <f>IF($E166="","",$E166*$G166)</f>
        <v/>
      </c>
      <c r="P166" s="56">
        <f>IF($E166="","",$E166*'参数配置'!$B$10)</f>
        <v/>
      </c>
      <c r="Q166" s="56">
        <f>IF($E166="","",$E166*'参数配置'!$B$11)</f>
        <v/>
      </c>
      <c r="R166" s="56">
        <f>IF($E166="","",$I166+$F166+$J166+$K166+$L166+$M166+$N166+$O166+$P166+$Q166)</f>
        <v/>
      </c>
      <c r="S166" s="56">
        <f>IF($E166="","",$E166-$R166)</f>
        <v/>
      </c>
      <c r="T166" s="57">
        <f>IF(OR($E166="",$E166=0),"",$S166/$E166)</f>
        <v/>
      </c>
      <c r="U166" s="38">
        <f>IF($E166="","",$S166*'参数配置'!$B$5)</f>
        <v/>
      </c>
      <c r="V166" s="57">
        <f>IF($E166="","",1-$H166-'参数配置'!$D$20-'参数配置'!$B$8-$G166-'参数配置'!$B$10-'参数配置'!$B$11-IF($E166&lt;='参数配置'!$B$7,'参数配置'!$B$6,0))</f>
        <v/>
      </c>
      <c r="W166" s="56">
        <f>IF($E166="","",$I166+$F166+$L166)</f>
        <v/>
      </c>
      <c r="X166" s="56">
        <f>IF($E166="","",IF($V166&gt;0,$W166/$V166,""))</f>
        <v/>
      </c>
      <c r="Y166" s="56">
        <f>IF($E166="","",IF(($V166-'参数配置'!$B$9)&gt;0,$W166/($V166-'参数配置'!$B$9),""))</f>
        <v/>
      </c>
      <c r="Z166" s="37">
        <f>IF($E166="","",IF(OR($C166="禁售",$C166="需资质"),"⛔"&amp;$C166&amp;"·不应进入利润表",IF($V166&lt;=0,"❗贡献率≤0·任何价都亏损",IF($E166&lt;$X166,"⛔低于保本价·亏损",IF($Y166="","⚠️目标不可达·需降本",IF($E166&lt;$Y166,"⚠️低于红线·未达目标利润率","✅达目标利润率"))))))</f>
        <v/>
      </c>
    </row>
    <row r="167">
      <c r="A167" s="52" t="n"/>
      <c r="B167" s="46">
        <f>IFERROR(VLOOKUP($A167,'SKU主表'!$A:$M,2,0),"")</f>
        <v/>
      </c>
      <c r="C167" s="47">
        <f>IFERROR(VLOOKUP($A167,'SKU主表'!$A:$M,9,0),"")</f>
        <v/>
      </c>
      <c r="D167" s="47">
        <f>IFERROR(VLOOKUP($A167,'SKU主表'!$A:$M,5,0),"")</f>
        <v/>
      </c>
      <c r="E167" s="58" t="n"/>
      <c r="F167" s="58" t="n"/>
      <c r="G167" s="59" t="n"/>
      <c r="H167" s="59">
        <f>'参数配置'!$D$22</f>
        <v/>
      </c>
      <c r="I167" s="56">
        <f>IF($D167="","",$D167/'参数配置'!$B$5)</f>
        <v/>
      </c>
      <c r="J167" s="56">
        <f>IF($E167="","",$E167*$H167)</f>
        <v/>
      </c>
      <c r="K167" s="56">
        <f>IF($E167="","",$E167*'参数配置'!$D$20)</f>
        <v/>
      </c>
      <c r="L167" s="56">
        <f>IF($E167="","",'参数配置'!$D$21)</f>
        <v/>
      </c>
      <c r="M167" s="56">
        <f>IF($E167="","",$E167*'参数配置'!$B$8)</f>
        <v/>
      </c>
      <c r="N167" s="56">
        <f>IF($E167="","",IF($E167&lt;='参数配置'!$B$7,$E167*'参数配置'!$B$6,0))</f>
        <v/>
      </c>
      <c r="O167" s="56">
        <f>IF($E167="","",$E167*$G167)</f>
        <v/>
      </c>
      <c r="P167" s="56">
        <f>IF($E167="","",$E167*'参数配置'!$B$10)</f>
        <v/>
      </c>
      <c r="Q167" s="56">
        <f>IF($E167="","",$E167*'参数配置'!$B$11)</f>
        <v/>
      </c>
      <c r="R167" s="56">
        <f>IF($E167="","",$I167+$F167+$J167+$K167+$L167+$M167+$N167+$O167+$P167+$Q167)</f>
        <v/>
      </c>
      <c r="S167" s="56">
        <f>IF($E167="","",$E167-$R167)</f>
        <v/>
      </c>
      <c r="T167" s="57">
        <f>IF(OR($E167="",$E167=0),"",$S167/$E167)</f>
        <v/>
      </c>
      <c r="U167" s="38">
        <f>IF($E167="","",$S167*'参数配置'!$B$5)</f>
        <v/>
      </c>
      <c r="V167" s="57">
        <f>IF($E167="","",1-$H167-'参数配置'!$D$20-'参数配置'!$B$8-$G167-'参数配置'!$B$10-'参数配置'!$B$11-IF($E167&lt;='参数配置'!$B$7,'参数配置'!$B$6,0))</f>
        <v/>
      </c>
      <c r="W167" s="56">
        <f>IF($E167="","",$I167+$F167+$L167)</f>
        <v/>
      </c>
      <c r="X167" s="56">
        <f>IF($E167="","",IF($V167&gt;0,$W167/$V167,""))</f>
        <v/>
      </c>
      <c r="Y167" s="56">
        <f>IF($E167="","",IF(($V167-'参数配置'!$B$9)&gt;0,$W167/($V167-'参数配置'!$B$9),""))</f>
        <v/>
      </c>
      <c r="Z167" s="37">
        <f>IF($E167="","",IF(OR($C167="禁售",$C167="需资质"),"⛔"&amp;$C167&amp;"·不应进入利润表",IF($V167&lt;=0,"❗贡献率≤0·任何价都亏损",IF($E167&lt;$X167,"⛔低于保本价·亏损",IF($Y167="","⚠️目标不可达·需降本",IF($E167&lt;$Y167,"⚠️低于红线·未达目标利润率","✅达目标利润率"))))))</f>
        <v/>
      </c>
    </row>
    <row r="168">
      <c r="A168" s="52" t="n"/>
      <c r="B168" s="46">
        <f>IFERROR(VLOOKUP($A168,'SKU主表'!$A:$M,2,0),"")</f>
        <v/>
      </c>
      <c r="C168" s="47">
        <f>IFERROR(VLOOKUP($A168,'SKU主表'!$A:$M,9,0),"")</f>
        <v/>
      </c>
      <c r="D168" s="47">
        <f>IFERROR(VLOOKUP($A168,'SKU主表'!$A:$M,5,0),"")</f>
        <v/>
      </c>
      <c r="E168" s="58" t="n"/>
      <c r="F168" s="58" t="n"/>
      <c r="G168" s="59" t="n"/>
      <c r="H168" s="59">
        <f>'参数配置'!$D$22</f>
        <v/>
      </c>
      <c r="I168" s="56">
        <f>IF($D168="","",$D168/'参数配置'!$B$5)</f>
        <v/>
      </c>
      <c r="J168" s="56">
        <f>IF($E168="","",$E168*$H168)</f>
        <v/>
      </c>
      <c r="K168" s="56">
        <f>IF($E168="","",$E168*'参数配置'!$D$20)</f>
        <v/>
      </c>
      <c r="L168" s="56">
        <f>IF($E168="","",'参数配置'!$D$21)</f>
        <v/>
      </c>
      <c r="M168" s="56">
        <f>IF($E168="","",$E168*'参数配置'!$B$8)</f>
        <v/>
      </c>
      <c r="N168" s="56">
        <f>IF($E168="","",IF($E168&lt;='参数配置'!$B$7,$E168*'参数配置'!$B$6,0))</f>
        <v/>
      </c>
      <c r="O168" s="56">
        <f>IF($E168="","",$E168*$G168)</f>
        <v/>
      </c>
      <c r="P168" s="56">
        <f>IF($E168="","",$E168*'参数配置'!$B$10)</f>
        <v/>
      </c>
      <c r="Q168" s="56">
        <f>IF($E168="","",$E168*'参数配置'!$B$11)</f>
        <v/>
      </c>
      <c r="R168" s="56">
        <f>IF($E168="","",$I168+$F168+$J168+$K168+$L168+$M168+$N168+$O168+$P168+$Q168)</f>
        <v/>
      </c>
      <c r="S168" s="56">
        <f>IF($E168="","",$E168-$R168)</f>
        <v/>
      </c>
      <c r="T168" s="57">
        <f>IF(OR($E168="",$E168=0),"",$S168/$E168)</f>
        <v/>
      </c>
      <c r="U168" s="38">
        <f>IF($E168="","",$S168*'参数配置'!$B$5)</f>
        <v/>
      </c>
      <c r="V168" s="57">
        <f>IF($E168="","",1-$H168-'参数配置'!$D$20-'参数配置'!$B$8-$G168-'参数配置'!$B$10-'参数配置'!$B$11-IF($E168&lt;='参数配置'!$B$7,'参数配置'!$B$6,0))</f>
        <v/>
      </c>
      <c r="W168" s="56">
        <f>IF($E168="","",$I168+$F168+$L168)</f>
        <v/>
      </c>
      <c r="X168" s="56">
        <f>IF($E168="","",IF($V168&gt;0,$W168/$V168,""))</f>
        <v/>
      </c>
      <c r="Y168" s="56">
        <f>IF($E168="","",IF(($V168-'参数配置'!$B$9)&gt;0,$W168/($V168-'参数配置'!$B$9),""))</f>
        <v/>
      </c>
      <c r="Z168" s="37">
        <f>IF($E168="","",IF(OR($C168="禁售",$C168="需资质"),"⛔"&amp;$C168&amp;"·不应进入利润表",IF($V168&lt;=0,"❗贡献率≤0·任何价都亏损",IF($E168&lt;$X168,"⛔低于保本价·亏损",IF($Y168="","⚠️目标不可达·需降本",IF($E168&lt;$Y168,"⚠️低于红线·未达目标利润率","✅达目标利润率"))))))</f>
        <v/>
      </c>
    </row>
    <row r="169">
      <c r="A169" s="52" t="n"/>
      <c r="B169" s="46">
        <f>IFERROR(VLOOKUP($A169,'SKU主表'!$A:$M,2,0),"")</f>
        <v/>
      </c>
      <c r="C169" s="47">
        <f>IFERROR(VLOOKUP($A169,'SKU主表'!$A:$M,9,0),"")</f>
        <v/>
      </c>
      <c r="D169" s="47">
        <f>IFERROR(VLOOKUP($A169,'SKU主表'!$A:$M,5,0),"")</f>
        <v/>
      </c>
      <c r="E169" s="58" t="n"/>
      <c r="F169" s="58" t="n"/>
      <c r="G169" s="59" t="n"/>
      <c r="H169" s="59">
        <f>'参数配置'!$D$22</f>
        <v/>
      </c>
      <c r="I169" s="56">
        <f>IF($D169="","",$D169/'参数配置'!$B$5)</f>
        <v/>
      </c>
      <c r="J169" s="56">
        <f>IF($E169="","",$E169*$H169)</f>
        <v/>
      </c>
      <c r="K169" s="56">
        <f>IF($E169="","",$E169*'参数配置'!$D$20)</f>
        <v/>
      </c>
      <c r="L169" s="56">
        <f>IF($E169="","",'参数配置'!$D$21)</f>
        <v/>
      </c>
      <c r="M169" s="56">
        <f>IF($E169="","",$E169*'参数配置'!$B$8)</f>
        <v/>
      </c>
      <c r="N169" s="56">
        <f>IF($E169="","",IF($E169&lt;='参数配置'!$B$7,$E169*'参数配置'!$B$6,0))</f>
        <v/>
      </c>
      <c r="O169" s="56">
        <f>IF($E169="","",$E169*$G169)</f>
        <v/>
      </c>
      <c r="P169" s="56">
        <f>IF($E169="","",$E169*'参数配置'!$B$10)</f>
        <v/>
      </c>
      <c r="Q169" s="56">
        <f>IF($E169="","",$E169*'参数配置'!$B$11)</f>
        <v/>
      </c>
      <c r="R169" s="56">
        <f>IF($E169="","",$I169+$F169+$J169+$K169+$L169+$M169+$N169+$O169+$P169+$Q169)</f>
        <v/>
      </c>
      <c r="S169" s="56">
        <f>IF($E169="","",$E169-$R169)</f>
        <v/>
      </c>
      <c r="T169" s="57">
        <f>IF(OR($E169="",$E169=0),"",$S169/$E169)</f>
        <v/>
      </c>
      <c r="U169" s="38">
        <f>IF($E169="","",$S169*'参数配置'!$B$5)</f>
        <v/>
      </c>
      <c r="V169" s="57">
        <f>IF($E169="","",1-$H169-'参数配置'!$D$20-'参数配置'!$B$8-$G169-'参数配置'!$B$10-'参数配置'!$B$11-IF($E169&lt;='参数配置'!$B$7,'参数配置'!$B$6,0))</f>
        <v/>
      </c>
      <c r="W169" s="56">
        <f>IF($E169="","",$I169+$F169+$L169)</f>
        <v/>
      </c>
      <c r="X169" s="56">
        <f>IF($E169="","",IF($V169&gt;0,$W169/$V169,""))</f>
        <v/>
      </c>
      <c r="Y169" s="56">
        <f>IF($E169="","",IF(($V169-'参数配置'!$B$9)&gt;0,$W169/($V169-'参数配置'!$B$9),""))</f>
        <v/>
      </c>
      <c r="Z169" s="37">
        <f>IF($E169="","",IF(OR($C169="禁售",$C169="需资质"),"⛔"&amp;$C169&amp;"·不应进入利润表",IF($V169&lt;=0,"❗贡献率≤0·任何价都亏损",IF($E169&lt;$X169,"⛔低于保本价·亏损",IF($Y169="","⚠️目标不可达·需降本",IF($E169&lt;$Y169,"⚠️低于红线·未达目标利润率","✅达目标利润率"))))))</f>
        <v/>
      </c>
    </row>
    <row r="170">
      <c r="A170" s="52" t="n"/>
      <c r="B170" s="46">
        <f>IFERROR(VLOOKUP($A170,'SKU主表'!$A:$M,2,0),"")</f>
        <v/>
      </c>
      <c r="C170" s="47">
        <f>IFERROR(VLOOKUP($A170,'SKU主表'!$A:$M,9,0),"")</f>
        <v/>
      </c>
      <c r="D170" s="47">
        <f>IFERROR(VLOOKUP($A170,'SKU主表'!$A:$M,5,0),"")</f>
        <v/>
      </c>
      <c r="E170" s="58" t="n"/>
      <c r="F170" s="58" t="n"/>
      <c r="G170" s="59" t="n"/>
      <c r="H170" s="59">
        <f>'参数配置'!$D$22</f>
        <v/>
      </c>
      <c r="I170" s="56">
        <f>IF($D170="","",$D170/'参数配置'!$B$5)</f>
        <v/>
      </c>
      <c r="J170" s="56">
        <f>IF($E170="","",$E170*$H170)</f>
        <v/>
      </c>
      <c r="K170" s="56">
        <f>IF($E170="","",$E170*'参数配置'!$D$20)</f>
        <v/>
      </c>
      <c r="L170" s="56">
        <f>IF($E170="","",'参数配置'!$D$21)</f>
        <v/>
      </c>
      <c r="M170" s="56">
        <f>IF($E170="","",$E170*'参数配置'!$B$8)</f>
        <v/>
      </c>
      <c r="N170" s="56">
        <f>IF($E170="","",IF($E170&lt;='参数配置'!$B$7,$E170*'参数配置'!$B$6,0))</f>
        <v/>
      </c>
      <c r="O170" s="56">
        <f>IF($E170="","",$E170*$G170)</f>
        <v/>
      </c>
      <c r="P170" s="56">
        <f>IF($E170="","",$E170*'参数配置'!$B$10)</f>
        <v/>
      </c>
      <c r="Q170" s="56">
        <f>IF($E170="","",$E170*'参数配置'!$B$11)</f>
        <v/>
      </c>
      <c r="R170" s="56">
        <f>IF($E170="","",$I170+$F170+$J170+$K170+$L170+$M170+$N170+$O170+$P170+$Q170)</f>
        <v/>
      </c>
      <c r="S170" s="56">
        <f>IF($E170="","",$E170-$R170)</f>
        <v/>
      </c>
      <c r="T170" s="57">
        <f>IF(OR($E170="",$E170=0),"",$S170/$E170)</f>
        <v/>
      </c>
      <c r="U170" s="38">
        <f>IF($E170="","",$S170*'参数配置'!$B$5)</f>
        <v/>
      </c>
      <c r="V170" s="57">
        <f>IF($E170="","",1-$H170-'参数配置'!$D$20-'参数配置'!$B$8-$G170-'参数配置'!$B$10-'参数配置'!$B$11-IF($E170&lt;='参数配置'!$B$7,'参数配置'!$B$6,0))</f>
        <v/>
      </c>
      <c r="W170" s="56">
        <f>IF($E170="","",$I170+$F170+$L170)</f>
        <v/>
      </c>
      <c r="X170" s="56">
        <f>IF($E170="","",IF($V170&gt;0,$W170/$V170,""))</f>
        <v/>
      </c>
      <c r="Y170" s="56">
        <f>IF($E170="","",IF(($V170-'参数配置'!$B$9)&gt;0,$W170/($V170-'参数配置'!$B$9),""))</f>
        <v/>
      </c>
      <c r="Z170" s="37">
        <f>IF($E170="","",IF(OR($C170="禁售",$C170="需资质"),"⛔"&amp;$C170&amp;"·不应进入利润表",IF($V170&lt;=0,"❗贡献率≤0·任何价都亏损",IF($E170&lt;$X170,"⛔低于保本价·亏损",IF($Y170="","⚠️目标不可达·需降本",IF($E170&lt;$Y170,"⚠️低于红线·未达目标利润率","✅达目标利润率"))))))</f>
        <v/>
      </c>
    </row>
    <row r="171">
      <c r="A171" s="52" t="n"/>
      <c r="B171" s="46">
        <f>IFERROR(VLOOKUP($A171,'SKU主表'!$A:$M,2,0),"")</f>
        <v/>
      </c>
      <c r="C171" s="47">
        <f>IFERROR(VLOOKUP($A171,'SKU主表'!$A:$M,9,0),"")</f>
        <v/>
      </c>
      <c r="D171" s="47">
        <f>IFERROR(VLOOKUP($A171,'SKU主表'!$A:$M,5,0),"")</f>
        <v/>
      </c>
      <c r="E171" s="58" t="n"/>
      <c r="F171" s="58" t="n"/>
      <c r="G171" s="59" t="n"/>
      <c r="H171" s="59">
        <f>'参数配置'!$D$22</f>
        <v/>
      </c>
      <c r="I171" s="56">
        <f>IF($D171="","",$D171/'参数配置'!$B$5)</f>
        <v/>
      </c>
      <c r="J171" s="56">
        <f>IF($E171="","",$E171*$H171)</f>
        <v/>
      </c>
      <c r="K171" s="56">
        <f>IF($E171="","",$E171*'参数配置'!$D$20)</f>
        <v/>
      </c>
      <c r="L171" s="56">
        <f>IF($E171="","",'参数配置'!$D$21)</f>
        <v/>
      </c>
      <c r="M171" s="56">
        <f>IF($E171="","",$E171*'参数配置'!$B$8)</f>
        <v/>
      </c>
      <c r="N171" s="56">
        <f>IF($E171="","",IF($E171&lt;='参数配置'!$B$7,$E171*'参数配置'!$B$6,0))</f>
        <v/>
      </c>
      <c r="O171" s="56">
        <f>IF($E171="","",$E171*$G171)</f>
        <v/>
      </c>
      <c r="P171" s="56">
        <f>IF($E171="","",$E171*'参数配置'!$B$10)</f>
        <v/>
      </c>
      <c r="Q171" s="56">
        <f>IF($E171="","",$E171*'参数配置'!$B$11)</f>
        <v/>
      </c>
      <c r="R171" s="56">
        <f>IF($E171="","",$I171+$F171+$J171+$K171+$L171+$M171+$N171+$O171+$P171+$Q171)</f>
        <v/>
      </c>
      <c r="S171" s="56">
        <f>IF($E171="","",$E171-$R171)</f>
        <v/>
      </c>
      <c r="T171" s="57">
        <f>IF(OR($E171="",$E171=0),"",$S171/$E171)</f>
        <v/>
      </c>
      <c r="U171" s="38">
        <f>IF($E171="","",$S171*'参数配置'!$B$5)</f>
        <v/>
      </c>
      <c r="V171" s="57">
        <f>IF($E171="","",1-$H171-'参数配置'!$D$20-'参数配置'!$B$8-$G171-'参数配置'!$B$10-'参数配置'!$B$11-IF($E171&lt;='参数配置'!$B$7,'参数配置'!$B$6,0))</f>
        <v/>
      </c>
      <c r="W171" s="56">
        <f>IF($E171="","",$I171+$F171+$L171)</f>
        <v/>
      </c>
      <c r="X171" s="56">
        <f>IF($E171="","",IF($V171&gt;0,$W171/$V171,""))</f>
        <v/>
      </c>
      <c r="Y171" s="56">
        <f>IF($E171="","",IF(($V171-'参数配置'!$B$9)&gt;0,$W171/($V171-'参数配置'!$B$9),""))</f>
        <v/>
      </c>
      <c r="Z171" s="37">
        <f>IF($E171="","",IF(OR($C171="禁售",$C171="需资质"),"⛔"&amp;$C171&amp;"·不应进入利润表",IF($V171&lt;=0,"❗贡献率≤0·任何价都亏损",IF($E171&lt;$X171,"⛔低于保本价·亏损",IF($Y171="","⚠️目标不可达·需降本",IF($E171&lt;$Y171,"⚠️低于红线·未达目标利润率","✅达目标利润率"))))))</f>
        <v/>
      </c>
    </row>
    <row r="172">
      <c r="A172" s="52" t="n"/>
      <c r="B172" s="46">
        <f>IFERROR(VLOOKUP($A172,'SKU主表'!$A:$M,2,0),"")</f>
        <v/>
      </c>
      <c r="C172" s="47">
        <f>IFERROR(VLOOKUP($A172,'SKU主表'!$A:$M,9,0),"")</f>
        <v/>
      </c>
      <c r="D172" s="47">
        <f>IFERROR(VLOOKUP($A172,'SKU主表'!$A:$M,5,0),"")</f>
        <v/>
      </c>
      <c r="E172" s="58" t="n"/>
      <c r="F172" s="58" t="n"/>
      <c r="G172" s="59" t="n"/>
      <c r="H172" s="59">
        <f>'参数配置'!$D$22</f>
        <v/>
      </c>
      <c r="I172" s="56">
        <f>IF($D172="","",$D172/'参数配置'!$B$5)</f>
        <v/>
      </c>
      <c r="J172" s="56">
        <f>IF($E172="","",$E172*$H172)</f>
        <v/>
      </c>
      <c r="K172" s="56">
        <f>IF($E172="","",$E172*'参数配置'!$D$20)</f>
        <v/>
      </c>
      <c r="L172" s="56">
        <f>IF($E172="","",'参数配置'!$D$21)</f>
        <v/>
      </c>
      <c r="M172" s="56">
        <f>IF($E172="","",$E172*'参数配置'!$B$8)</f>
        <v/>
      </c>
      <c r="N172" s="56">
        <f>IF($E172="","",IF($E172&lt;='参数配置'!$B$7,$E172*'参数配置'!$B$6,0))</f>
        <v/>
      </c>
      <c r="O172" s="56">
        <f>IF($E172="","",$E172*$G172)</f>
        <v/>
      </c>
      <c r="P172" s="56">
        <f>IF($E172="","",$E172*'参数配置'!$B$10)</f>
        <v/>
      </c>
      <c r="Q172" s="56">
        <f>IF($E172="","",$E172*'参数配置'!$B$11)</f>
        <v/>
      </c>
      <c r="R172" s="56">
        <f>IF($E172="","",$I172+$F172+$J172+$K172+$L172+$M172+$N172+$O172+$P172+$Q172)</f>
        <v/>
      </c>
      <c r="S172" s="56">
        <f>IF($E172="","",$E172-$R172)</f>
        <v/>
      </c>
      <c r="T172" s="57">
        <f>IF(OR($E172="",$E172=0),"",$S172/$E172)</f>
        <v/>
      </c>
      <c r="U172" s="38">
        <f>IF($E172="","",$S172*'参数配置'!$B$5)</f>
        <v/>
      </c>
      <c r="V172" s="57">
        <f>IF($E172="","",1-$H172-'参数配置'!$D$20-'参数配置'!$B$8-$G172-'参数配置'!$B$10-'参数配置'!$B$11-IF($E172&lt;='参数配置'!$B$7,'参数配置'!$B$6,0))</f>
        <v/>
      </c>
      <c r="W172" s="56">
        <f>IF($E172="","",$I172+$F172+$L172)</f>
        <v/>
      </c>
      <c r="X172" s="56">
        <f>IF($E172="","",IF($V172&gt;0,$W172/$V172,""))</f>
        <v/>
      </c>
      <c r="Y172" s="56">
        <f>IF($E172="","",IF(($V172-'参数配置'!$B$9)&gt;0,$W172/($V172-'参数配置'!$B$9),""))</f>
        <v/>
      </c>
      <c r="Z172" s="37">
        <f>IF($E172="","",IF(OR($C172="禁售",$C172="需资质"),"⛔"&amp;$C172&amp;"·不应进入利润表",IF($V172&lt;=0,"❗贡献率≤0·任何价都亏损",IF($E172&lt;$X172,"⛔低于保本价·亏损",IF($Y172="","⚠️目标不可达·需降本",IF($E172&lt;$Y172,"⚠️低于红线·未达目标利润率","✅达目标利润率"))))))</f>
        <v/>
      </c>
    </row>
    <row r="173">
      <c r="A173" s="52" t="n"/>
      <c r="B173" s="46">
        <f>IFERROR(VLOOKUP($A173,'SKU主表'!$A:$M,2,0),"")</f>
        <v/>
      </c>
      <c r="C173" s="47">
        <f>IFERROR(VLOOKUP($A173,'SKU主表'!$A:$M,9,0),"")</f>
        <v/>
      </c>
      <c r="D173" s="47">
        <f>IFERROR(VLOOKUP($A173,'SKU主表'!$A:$M,5,0),"")</f>
        <v/>
      </c>
      <c r="E173" s="58" t="n"/>
      <c r="F173" s="58" t="n"/>
      <c r="G173" s="59" t="n"/>
      <c r="H173" s="59">
        <f>'参数配置'!$D$22</f>
        <v/>
      </c>
      <c r="I173" s="56">
        <f>IF($D173="","",$D173/'参数配置'!$B$5)</f>
        <v/>
      </c>
      <c r="J173" s="56">
        <f>IF($E173="","",$E173*$H173)</f>
        <v/>
      </c>
      <c r="K173" s="56">
        <f>IF($E173="","",$E173*'参数配置'!$D$20)</f>
        <v/>
      </c>
      <c r="L173" s="56">
        <f>IF($E173="","",'参数配置'!$D$21)</f>
        <v/>
      </c>
      <c r="M173" s="56">
        <f>IF($E173="","",$E173*'参数配置'!$B$8)</f>
        <v/>
      </c>
      <c r="N173" s="56">
        <f>IF($E173="","",IF($E173&lt;='参数配置'!$B$7,$E173*'参数配置'!$B$6,0))</f>
        <v/>
      </c>
      <c r="O173" s="56">
        <f>IF($E173="","",$E173*$G173)</f>
        <v/>
      </c>
      <c r="P173" s="56">
        <f>IF($E173="","",$E173*'参数配置'!$B$10)</f>
        <v/>
      </c>
      <c r="Q173" s="56">
        <f>IF($E173="","",$E173*'参数配置'!$B$11)</f>
        <v/>
      </c>
      <c r="R173" s="56">
        <f>IF($E173="","",$I173+$F173+$J173+$K173+$L173+$M173+$N173+$O173+$P173+$Q173)</f>
        <v/>
      </c>
      <c r="S173" s="56">
        <f>IF($E173="","",$E173-$R173)</f>
        <v/>
      </c>
      <c r="T173" s="57">
        <f>IF(OR($E173="",$E173=0),"",$S173/$E173)</f>
        <v/>
      </c>
      <c r="U173" s="38">
        <f>IF($E173="","",$S173*'参数配置'!$B$5)</f>
        <v/>
      </c>
      <c r="V173" s="57">
        <f>IF($E173="","",1-$H173-'参数配置'!$D$20-'参数配置'!$B$8-$G173-'参数配置'!$B$10-'参数配置'!$B$11-IF($E173&lt;='参数配置'!$B$7,'参数配置'!$B$6,0))</f>
        <v/>
      </c>
      <c r="W173" s="56">
        <f>IF($E173="","",$I173+$F173+$L173)</f>
        <v/>
      </c>
      <c r="X173" s="56">
        <f>IF($E173="","",IF($V173&gt;0,$W173/$V173,""))</f>
        <v/>
      </c>
      <c r="Y173" s="56">
        <f>IF($E173="","",IF(($V173-'参数配置'!$B$9)&gt;0,$W173/($V173-'参数配置'!$B$9),""))</f>
        <v/>
      </c>
      <c r="Z173" s="37">
        <f>IF($E173="","",IF(OR($C173="禁售",$C173="需资质"),"⛔"&amp;$C173&amp;"·不应进入利润表",IF($V173&lt;=0,"❗贡献率≤0·任何价都亏损",IF($E173&lt;$X173,"⛔低于保本价·亏损",IF($Y173="","⚠️目标不可达·需降本",IF($E173&lt;$Y173,"⚠️低于红线·未达目标利润率","✅达目标利润率"))))))</f>
        <v/>
      </c>
    </row>
    <row r="174">
      <c r="A174" s="52" t="n"/>
      <c r="B174" s="46">
        <f>IFERROR(VLOOKUP($A174,'SKU主表'!$A:$M,2,0),"")</f>
        <v/>
      </c>
      <c r="C174" s="47">
        <f>IFERROR(VLOOKUP($A174,'SKU主表'!$A:$M,9,0),"")</f>
        <v/>
      </c>
      <c r="D174" s="47">
        <f>IFERROR(VLOOKUP($A174,'SKU主表'!$A:$M,5,0),"")</f>
        <v/>
      </c>
      <c r="E174" s="58" t="n"/>
      <c r="F174" s="58" t="n"/>
      <c r="G174" s="59" t="n"/>
      <c r="H174" s="59">
        <f>'参数配置'!$D$22</f>
        <v/>
      </c>
      <c r="I174" s="56">
        <f>IF($D174="","",$D174/'参数配置'!$B$5)</f>
        <v/>
      </c>
      <c r="J174" s="56">
        <f>IF($E174="","",$E174*$H174)</f>
        <v/>
      </c>
      <c r="K174" s="56">
        <f>IF($E174="","",$E174*'参数配置'!$D$20)</f>
        <v/>
      </c>
      <c r="L174" s="56">
        <f>IF($E174="","",'参数配置'!$D$21)</f>
        <v/>
      </c>
      <c r="M174" s="56">
        <f>IF($E174="","",$E174*'参数配置'!$B$8)</f>
        <v/>
      </c>
      <c r="N174" s="56">
        <f>IF($E174="","",IF($E174&lt;='参数配置'!$B$7,$E174*'参数配置'!$B$6,0))</f>
        <v/>
      </c>
      <c r="O174" s="56">
        <f>IF($E174="","",$E174*$G174)</f>
        <v/>
      </c>
      <c r="P174" s="56">
        <f>IF($E174="","",$E174*'参数配置'!$B$10)</f>
        <v/>
      </c>
      <c r="Q174" s="56">
        <f>IF($E174="","",$E174*'参数配置'!$B$11)</f>
        <v/>
      </c>
      <c r="R174" s="56">
        <f>IF($E174="","",$I174+$F174+$J174+$K174+$L174+$M174+$N174+$O174+$P174+$Q174)</f>
        <v/>
      </c>
      <c r="S174" s="56">
        <f>IF($E174="","",$E174-$R174)</f>
        <v/>
      </c>
      <c r="T174" s="57">
        <f>IF(OR($E174="",$E174=0),"",$S174/$E174)</f>
        <v/>
      </c>
      <c r="U174" s="38">
        <f>IF($E174="","",$S174*'参数配置'!$B$5)</f>
        <v/>
      </c>
      <c r="V174" s="57">
        <f>IF($E174="","",1-$H174-'参数配置'!$D$20-'参数配置'!$B$8-$G174-'参数配置'!$B$10-'参数配置'!$B$11-IF($E174&lt;='参数配置'!$B$7,'参数配置'!$B$6,0))</f>
        <v/>
      </c>
      <c r="W174" s="56">
        <f>IF($E174="","",$I174+$F174+$L174)</f>
        <v/>
      </c>
      <c r="X174" s="56">
        <f>IF($E174="","",IF($V174&gt;0,$W174/$V174,""))</f>
        <v/>
      </c>
      <c r="Y174" s="56">
        <f>IF($E174="","",IF(($V174-'参数配置'!$B$9)&gt;0,$W174/($V174-'参数配置'!$B$9),""))</f>
        <v/>
      </c>
      <c r="Z174" s="37">
        <f>IF($E174="","",IF(OR($C174="禁售",$C174="需资质"),"⛔"&amp;$C174&amp;"·不应进入利润表",IF($V174&lt;=0,"❗贡献率≤0·任何价都亏损",IF($E174&lt;$X174,"⛔低于保本价·亏损",IF($Y174="","⚠️目标不可达·需降本",IF($E174&lt;$Y174,"⚠️低于红线·未达目标利润率","✅达目标利润率"))))))</f>
        <v/>
      </c>
    </row>
    <row r="175">
      <c r="A175" s="52" t="n"/>
      <c r="B175" s="46">
        <f>IFERROR(VLOOKUP($A175,'SKU主表'!$A:$M,2,0),"")</f>
        <v/>
      </c>
      <c r="C175" s="47">
        <f>IFERROR(VLOOKUP($A175,'SKU主表'!$A:$M,9,0),"")</f>
        <v/>
      </c>
      <c r="D175" s="47">
        <f>IFERROR(VLOOKUP($A175,'SKU主表'!$A:$M,5,0),"")</f>
        <v/>
      </c>
      <c r="E175" s="58" t="n"/>
      <c r="F175" s="58" t="n"/>
      <c r="G175" s="59" t="n"/>
      <c r="H175" s="59">
        <f>'参数配置'!$D$22</f>
        <v/>
      </c>
      <c r="I175" s="56">
        <f>IF($D175="","",$D175/'参数配置'!$B$5)</f>
        <v/>
      </c>
      <c r="J175" s="56">
        <f>IF($E175="","",$E175*$H175)</f>
        <v/>
      </c>
      <c r="K175" s="56">
        <f>IF($E175="","",$E175*'参数配置'!$D$20)</f>
        <v/>
      </c>
      <c r="L175" s="56">
        <f>IF($E175="","",'参数配置'!$D$21)</f>
        <v/>
      </c>
      <c r="M175" s="56">
        <f>IF($E175="","",$E175*'参数配置'!$B$8)</f>
        <v/>
      </c>
      <c r="N175" s="56">
        <f>IF($E175="","",IF($E175&lt;='参数配置'!$B$7,$E175*'参数配置'!$B$6,0))</f>
        <v/>
      </c>
      <c r="O175" s="56">
        <f>IF($E175="","",$E175*$G175)</f>
        <v/>
      </c>
      <c r="P175" s="56">
        <f>IF($E175="","",$E175*'参数配置'!$B$10)</f>
        <v/>
      </c>
      <c r="Q175" s="56">
        <f>IF($E175="","",$E175*'参数配置'!$B$11)</f>
        <v/>
      </c>
      <c r="R175" s="56">
        <f>IF($E175="","",$I175+$F175+$J175+$K175+$L175+$M175+$N175+$O175+$P175+$Q175)</f>
        <v/>
      </c>
      <c r="S175" s="56">
        <f>IF($E175="","",$E175-$R175)</f>
        <v/>
      </c>
      <c r="T175" s="57">
        <f>IF(OR($E175="",$E175=0),"",$S175/$E175)</f>
        <v/>
      </c>
      <c r="U175" s="38">
        <f>IF($E175="","",$S175*'参数配置'!$B$5)</f>
        <v/>
      </c>
      <c r="V175" s="57">
        <f>IF($E175="","",1-$H175-'参数配置'!$D$20-'参数配置'!$B$8-$G175-'参数配置'!$B$10-'参数配置'!$B$11-IF($E175&lt;='参数配置'!$B$7,'参数配置'!$B$6,0))</f>
        <v/>
      </c>
      <c r="W175" s="56">
        <f>IF($E175="","",$I175+$F175+$L175)</f>
        <v/>
      </c>
      <c r="X175" s="56">
        <f>IF($E175="","",IF($V175&gt;0,$W175/$V175,""))</f>
        <v/>
      </c>
      <c r="Y175" s="56">
        <f>IF($E175="","",IF(($V175-'参数配置'!$B$9)&gt;0,$W175/($V175-'参数配置'!$B$9),""))</f>
        <v/>
      </c>
      <c r="Z175" s="37">
        <f>IF($E175="","",IF(OR($C175="禁售",$C175="需资质"),"⛔"&amp;$C175&amp;"·不应进入利润表",IF($V175&lt;=0,"❗贡献率≤0·任何价都亏损",IF($E175&lt;$X175,"⛔低于保本价·亏损",IF($Y175="","⚠️目标不可达·需降本",IF($E175&lt;$Y175,"⚠️低于红线·未达目标利润率","✅达目标利润率"))))))</f>
        <v/>
      </c>
    </row>
    <row r="176">
      <c r="A176" s="52" t="n"/>
      <c r="B176" s="46">
        <f>IFERROR(VLOOKUP($A176,'SKU主表'!$A:$M,2,0),"")</f>
        <v/>
      </c>
      <c r="C176" s="47">
        <f>IFERROR(VLOOKUP($A176,'SKU主表'!$A:$M,9,0),"")</f>
        <v/>
      </c>
      <c r="D176" s="47">
        <f>IFERROR(VLOOKUP($A176,'SKU主表'!$A:$M,5,0),"")</f>
        <v/>
      </c>
      <c r="E176" s="58" t="n"/>
      <c r="F176" s="58" t="n"/>
      <c r="G176" s="59" t="n"/>
      <c r="H176" s="59">
        <f>'参数配置'!$D$22</f>
        <v/>
      </c>
      <c r="I176" s="56">
        <f>IF($D176="","",$D176/'参数配置'!$B$5)</f>
        <v/>
      </c>
      <c r="J176" s="56">
        <f>IF($E176="","",$E176*$H176)</f>
        <v/>
      </c>
      <c r="K176" s="56">
        <f>IF($E176="","",$E176*'参数配置'!$D$20)</f>
        <v/>
      </c>
      <c r="L176" s="56">
        <f>IF($E176="","",'参数配置'!$D$21)</f>
        <v/>
      </c>
      <c r="M176" s="56">
        <f>IF($E176="","",$E176*'参数配置'!$B$8)</f>
        <v/>
      </c>
      <c r="N176" s="56">
        <f>IF($E176="","",IF($E176&lt;='参数配置'!$B$7,$E176*'参数配置'!$B$6,0))</f>
        <v/>
      </c>
      <c r="O176" s="56">
        <f>IF($E176="","",$E176*$G176)</f>
        <v/>
      </c>
      <c r="P176" s="56">
        <f>IF($E176="","",$E176*'参数配置'!$B$10)</f>
        <v/>
      </c>
      <c r="Q176" s="56">
        <f>IF($E176="","",$E176*'参数配置'!$B$11)</f>
        <v/>
      </c>
      <c r="R176" s="56">
        <f>IF($E176="","",$I176+$F176+$J176+$K176+$L176+$M176+$N176+$O176+$P176+$Q176)</f>
        <v/>
      </c>
      <c r="S176" s="56">
        <f>IF($E176="","",$E176-$R176)</f>
        <v/>
      </c>
      <c r="T176" s="57">
        <f>IF(OR($E176="",$E176=0),"",$S176/$E176)</f>
        <v/>
      </c>
      <c r="U176" s="38">
        <f>IF($E176="","",$S176*'参数配置'!$B$5)</f>
        <v/>
      </c>
      <c r="V176" s="57">
        <f>IF($E176="","",1-$H176-'参数配置'!$D$20-'参数配置'!$B$8-$G176-'参数配置'!$B$10-'参数配置'!$B$11-IF($E176&lt;='参数配置'!$B$7,'参数配置'!$B$6,0))</f>
        <v/>
      </c>
      <c r="W176" s="56">
        <f>IF($E176="","",$I176+$F176+$L176)</f>
        <v/>
      </c>
      <c r="X176" s="56">
        <f>IF($E176="","",IF($V176&gt;0,$W176/$V176,""))</f>
        <v/>
      </c>
      <c r="Y176" s="56">
        <f>IF($E176="","",IF(($V176-'参数配置'!$B$9)&gt;0,$W176/($V176-'参数配置'!$B$9),""))</f>
        <v/>
      </c>
      <c r="Z176" s="37">
        <f>IF($E176="","",IF(OR($C176="禁售",$C176="需资质"),"⛔"&amp;$C176&amp;"·不应进入利润表",IF($V176&lt;=0,"❗贡献率≤0·任何价都亏损",IF($E176&lt;$X176,"⛔低于保本价·亏损",IF($Y176="","⚠️目标不可达·需降本",IF($E176&lt;$Y176,"⚠️低于红线·未达目标利润率","✅达目标利润率"))))))</f>
        <v/>
      </c>
    </row>
    <row r="177">
      <c r="A177" s="52" t="n"/>
      <c r="B177" s="46">
        <f>IFERROR(VLOOKUP($A177,'SKU主表'!$A:$M,2,0),"")</f>
        <v/>
      </c>
      <c r="C177" s="47">
        <f>IFERROR(VLOOKUP($A177,'SKU主表'!$A:$M,9,0),"")</f>
        <v/>
      </c>
      <c r="D177" s="47">
        <f>IFERROR(VLOOKUP($A177,'SKU主表'!$A:$M,5,0),"")</f>
        <v/>
      </c>
      <c r="E177" s="58" t="n"/>
      <c r="F177" s="58" t="n"/>
      <c r="G177" s="59" t="n"/>
      <c r="H177" s="59">
        <f>'参数配置'!$D$22</f>
        <v/>
      </c>
      <c r="I177" s="56">
        <f>IF($D177="","",$D177/'参数配置'!$B$5)</f>
        <v/>
      </c>
      <c r="J177" s="56">
        <f>IF($E177="","",$E177*$H177)</f>
        <v/>
      </c>
      <c r="K177" s="56">
        <f>IF($E177="","",$E177*'参数配置'!$D$20)</f>
        <v/>
      </c>
      <c r="L177" s="56">
        <f>IF($E177="","",'参数配置'!$D$21)</f>
        <v/>
      </c>
      <c r="M177" s="56">
        <f>IF($E177="","",$E177*'参数配置'!$B$8)</f>
        <v/>
      </c>
      <c r="N177" s="56">
        <f>IF($E177="","",IF($E177&lt;='参数配置'!$B$7,$E177*'参数配置'!$B$6,0))</f>
        <v/>
      </c>
      <c r="O177" s="56">
        <f>IF($E177="","",$E177*$G177)</f>
        <v/>
      </c>
      <c r="P177" s="56">
        <f>IF($E177="","",$E177*'参数配置'!$B$10)</f>
        <v/>
      </c>
      <c r="Q177" s="56">
        <f>IF($E177="","",$E177*'参数配置'!$B$11)</f>
        <v/>
      </c>
      <c r="R177" s="56">
        <f>IF($E177="","",$I177+$F177+$J177+$K177+$L177+$M177+$N177+$O177+$P177+$Q177)</f>
        <v/>
      </c>
      <c r="S177" s="56">
        <f>IF($E177="","",$E177-$R177)</f>
        <v/>
      </c>
      <c r="T177" s="57">
        <f>IF(OR($E177="",$E177=0),"",$S177/$E177)</f>
        <v/>
      </c>
      <c r="U177" s="38">
        <f>IF($E177="","",$S177*'参数配置'!$B$5)</f>
        <v/>
      </c>
      <c r="V177" s="57">
        <f>IF($E177="","",1-$H177-'参数配置'!$D$20-'参数配置'!$B$8-$G177-'参数配置'!$B$10-'参数配置'!$B$11-IF($E177&lt;='参数配置'!$B$7,'参数配置'!$B$6,0))</f>
        <v/>
      </c>
      <c r="W177" s="56">
        <f>IF($E177="","",$I177+$F177+$L177)</f>
        <v/>
      </c>
      <c r="X177" s="56">
        <f>IF($E177="","",IF($V177&gt;0,$W177/$V177,""))</f>
        <v/>
      </c>
      <c r="Y177" s="56">
        <f>IF($E177="","",IF(($V177-'参数配置'!$B$9)&gt;0,$W177/($V177-'参数配置'!$B$9),""))</f>
        <v/>
      </c>
      <c r="Z177" s="37">
        <f>IF($E177="","",IF(OR($C177="禁售",$C177="需资质"),"⛔"&amp;$C177&amp;"·不应进入利润表",IF($V177&lt;=0,"❗贡献率≤0·任何价都亏损",IF($E177&lt;$X177,"⛔低于保本价·亏损",IF($Y177="","⚠️目标不可达·需降本",IF($E177&lt;$Y177,"⚠️低于红线·未达目标利润率","✅达目标利润率"))))))</f>
        <v/>
      </c>
    </row>
    <row r="178">
      <c r="A178" s="52" t="n"/>
      <c r="B178" s="46">
        <f>IFERROR(VLOOKUP($A178,'SKU主表'!$A:$M,2,0),"")</f>
        <v/>
      </c>
      <c r="C178" s="47">
        <f>IFERROR(VLOOKUP($A178,'SKU主表'!$A:$M,9,0),"")</f>
        <v/>
      </c>
      <c r="D178" s="47">
        <f>IFERROR(VLOOKUP($A178,'SKU主表'!$A:$M,5,0),"")</f>
        <v/>
      </c>
      <c r="E178" s="58" t="n"/>
      <c r="F178" s="58" t="n"/>
      <c r="G178" s="59" t="n"/>
      <c r="H178" s="59">
        <f>'参数配置'!$D$22</f>
        <v/>
      </c>
      <c r="I178" s="56">
        <f>IF($D178="","",$D178/'参数配置'!$B$5)</f>
        <v/>
      </c>
      <c r="J178" s="56">
        <f>IF($E178="","",$E178*$H178)</f>
        <v/>
      </c>
      <c r="K178" s="56">
        <f>IF($E178="","",$E178*'参数配置'!$D$20)</f>
        <v/>
      </c>
      <c r="L178" s="56">
        <f>IF($E178="","",'参数配置'!$D$21)</f>
        <v/>
      </c>
      <c r="M178" s="56">
        <f>IF($E178="","",$E178*'参数配置'!$B$8)</f>
        <v/>
      </c>
      <c r="N178" s="56">
        <f>IF($E178="","",IF($E178&lt;='参数配置'!$B$7,$E178*'参数配置'!$B$6,0))</f>
        <v/>
      </c>
      <c r="O178" s="56">
        <f>IF($E178="","",$E178*$G178)</f>
        <v/>
      </c>
      <c r="P178" s="56">
        <f>IF($E178="","",$E178*'参数配置'!$B$10)</f>
        <v/>
      </c>
      <c r="Q178" s="56">
        <f>IF($E178="","",$E178*'参数配置'!$B$11)</f>
        <v/>
      </c>
      <c r="R178" s="56">
        <f>IF($E178="","",$I178+$F178+$J178+$K178+$L178+$M178+$N178+$O178+$P178+$Q178)</f>
        <v/>
      </c>
      <c r="S178" s="56">
        <f>IF($E178="","",$E178-$R178)</f>
        <v/>
      </c>
      <c r="T178" s="57">
        <f>IF(OR($E178="",$E178=0),"",$S178/$E178)</f>
        <v/>
      </c>
      <c r="U178" s="38">
        <f>IF($E178="","",$S178*'参数配置'!$B$5)</f>
        <v/>
      </c>
      <c r="V178" s="57">
        <f>IF($E178="","",1-$H178-'参数配置'!$D$20-'参数配置'!$B$8-$G178-'参数配置'!$B$10-'参数配置'!$B$11-IF($E178&lt;='参数配置'!$B$7,'参数配置'!$B$6,0))</f>
        <v/>
      </c>
      <c r="W178" s="56">
        <f>IF($E178="","",$I178+$F178+$L178)</f>
        <v/>
      </c>
      <c r="X178" s="56">
        <f>IF($E178="","",IF($V178&gt;0,$W178/$V178,""))</f>
        <v/>
      </c>
      <c r="Y178" s="56">
        <f>IF($E178="","",IF(($V178-'参数配置'!$B$9)&gt;0,$W178/($V178-'参数配置'!$B$9),""))</f>
        <v/>
      </c>
      <c r="Z178" s="37">
        <f>IF($E178="","",IF(OR($C178="禁售",$C178="需资质"),"⛔"&amp;$C178&amp;"·不应进入利润表",IF($V178&lt;=0,"❗贡献率≤0·任何价都亏损",IF($E178&lt;$X178,"⛔低于保本价·亏损",IF($Y178="","⚠️目标不可达·需降本",IF($E178&lt;$Y178,"⚠️低于红线·未达目标利润率","✅达目标利润率"))))))</f>
        <v/>
      </c>
    </row>
    <row r="179">
      <c r="A179" s="52" t="n"/>
      <c r="B179" s="46">
        <f>IFERROR(VLOOKUP($A179,'SKU主表'!$A:$M,2,0),"")</f>
        <v/>
      </c>
      <c r="C179" s="47">
        <f>IFERROR(VLOOKUP($A179,'SKU主表'!$A:$M,9,0),"")</f>
        <v/>
      </c>
      <c r="D179" s="47">
        <f>IFERROR(VLOOKUP($A179,'SKU主表'!$A:$M,5,0),"")</f>
        <v/>
      </c>
      <c r="E179" s="58" t="n"/>
      <c r="F179" s="58" t="n"/>
      <c r="G179" s="59" t="n"/>
      <c r="H179" s="59">
        <f>'参数配置'!$D$22</f>
        <v/>
      </c>
      <c r="I179" s="56">
        <f>IF($D179="","",$D179/'参数配置'!$B$5)</f>
        <v/>
      </c>
      <c r="J179" s="56">
        <f>IF($E179="","",$E179*$H179)</f>
        <v/>
      </c>
      <c r="K179" s="56">
        <f>IF($E179="","",$E179*'参数配置'!$D$20)</f>
        <v/>
      </c>
      <c r="L179" s="56">
        <f>IF($E179="","",'参数配置'!$D$21)</f>
        <v/>
      </c>
      <c r="M179" s="56">
        <f>IF($E179="","",$E179*'参数配置'!$B$8)</f>
        <v/>
      </c>
      <c r="N179" s="56">
        <f>IF($E179="","",IF($E179&lt;='参数配置'!$B$7,$E179*'参数配置'!$B$6,0))</f>
        <v/>
      </c>
      <c r="O179" s="56">
        <f>IF($E179="","",$E179*$G179)</f>
        <v/>
      </c>
      <c r="P179" s="56">
        <f>IF($E179="","",$E179*'参数配置'!$B$10)</f>
        <v/>
      </c>
      <c r="Q179" s="56">
        <f>IF($E179="","",$E179*'参数配置'!$B$11)</f>
        <v/>
      </c>
      <c r="R179" s="56">
        <f>IF($E179="","",$I179+$F179+$J179+$K179+$L179+$M179+$N179+$O179+$P179+$Q179)</f>
        <v/>
      </c>
      <c r="S179" s="56">
        <f>IF($E179="","",$E179-$R179)</f>
        <v/>
      </c>
      <c r="T179" s="57">
        <f>IF(OR($E179="",$E179=0),"",$S179/$E179)</f>
        <v/>
      </c>
      <c r="U179" s="38">
        <f>IF($E179="","",$S179*'参数配置'!$B$5)</f>
        <v/>
      </c>
      <c r="V179" s="57">
        <f>IF($E179="","",1-$H179-'参数配置'!$D$20-'参数配置'!$B$8-$G179-'参数配置'!$B$10-'参数配置'!$B$11-IF($E179&lt;='参数配置'!$B$7,'参数配置'!$B$6,0))</f>
        <v/>
      </c>
      <c r="W179" s="56">
        <f>IF($E179="","",$I179+$F179+$L179)</f>
        <v/>
      </c>
      <c r="X179" s="56">
        <f>IF($E179="","",IF($V179&gt;0,$W179/$V179,""))</f>
        <v/>
      </c>
      <c r="Y179" s="56">
        <f>IF($E179="","",IF(($V179-'参数配置'!$B$9)&gt;0,$W179/($V179-'参数配置'!$B$9),""))</f>
        <v/>
      </c>
      <c r="Z179" s="37">
        <f>IF($E179="","",IF(OR($C179="禁售",$C179="需资质"),"⛔"&amp;$C179&amp;"·不应进入利润表",IF($V179&lt;=0,"❗贡献率≤0·任何价都亏损",IF($E179&lt;$X179,"⛔低于保本价·亏损",IF($Y179="","⚠️目标不可达·需降本",IF($E179&lt;$Y179,"⚠️低于红线·未达目标利润率","✅达目标利润率"))))))</f>
        <v/>
      </c>
    </row>
    <row r="180">
      <c r="A180" s="52" t="n"/>
      <c r="B180" s="46">
        <f>IFERROR(VLOOKUP($A180,'SKU主表'!$A:$M,2,0),"")</f>
        <v/>
      </c>
      <c r="C180" s="47">
        <f>IFERROR(VLOOKUP($A180,'SKU主表'!$A:$M,9,0),"")</f>
        <v/>
      </c>
      <c r="D180" s="47">
        <f>IFERROR(VLOOKUP($A180,'SKU主表'!$A:$M,5,0),"")</f>
        <v/>
      </c>
      <c r="E180" s="58" t="n"/>
      <c r="F180" s="58" t="n"/>
      <c r="G180" s="59" t="n"/>
      <c r="H180" s="59">
        <f>'参数配置'!$D$22</f>
        <v/>
      </c>
      <c r="I180" s="56">
        <f>IF($D180="","",$D180/'参数配置'!$B$5)</f>
        <v/>
      </c>
      <c r="J180" s="56">
        <f>IF($E180="","",$E180*$H180)</f>
        <v/>
      </c>
      <c r="K180" s="56">
        <f>IF($E180="","",$E180*'参数配置'!$D$20)</f>
        <v/>
      </c>
      <c r="L180" s="56">
        <f>IF($E180="","",'参数配置'!$D$21)</f>
        <v/>
      </c>
      <c r="M180" s="56">
        <f>IF($E180="","",$E180*'参数配置'!$B$8)</f>
        <v/>
      </c>
      <c r="N180" s="56">
        <f>IF($E180="","",IF($E180&lt;='参数配置'!$B$7,$E180*'参数配置'!$B$6,0))</f>
        <v/>
      </c>
      <c r="O180" s="56">
        <f>IF($E180="","",$E180*$G180)</f>
        <v/>
      </c>
      <c r="P180" s="56">
        <f>IF($E180="","",$E180*'参数配置'!$B$10)</f>
        <v/>
      </c>
      <c r="Q180" s="56">
        <f>IF($E180="","",$E180*'参数配置'!$B$11)</f>
        <v/>
      </c>
      <c r="R180" s="56">
        <f>IF($E180="","",$I180+$F180+$J180+$K180+$L180+$M180+$N180+$O180+$P180+$Q180)</f>
        <v/>
      </c>
      <c r="S180" s="56">
        <f>IF($E180="","",$E180-$R180)</f>
        <v/>
      </c>
      <c r="T180" s="57">
        <f>IF(OR($E180="",$E180=0),"",$S180/$E180)</f>
        <v/>
      </c>
      <c r="U180" s="38">
        <f>IF($E180="","",$S180*'参数配置'!$B$5)</f>
        <v/>
      </c>
      <c r="V180" s="57">
        <f>IF($E180="","",1-$H180-'参数配置'!$D$20-'参数配置'!$B$8-$G180-'参数配置'!$B$10-'参数配置'!$B$11-IF($E180&lt;='参数配置'!$B$7,'参数配置'!$B$6,0))</f>
        <v/>
      </c>
      <c r="W180" s="56">
        <f>IF($E180="","",$I180+$F180+$L180)</f>
        <v/>
      </c>
      <c r="X180" s="56">
        <f>IF($E180="","",IF($V180&gt;0,$W180/$V180,""))</f>
        <v/>
      </c>
      <c r="Y180" s="56">
        <f>IF($E180="","",IF(($V180-'参数配置'!$B$9)&gt;0,$W180/($V180-'参数配置'!$B$9),""))</f>
        <v/>
      </c>
      <c r="Z180" s="37">
        <f>IF($E180="","",IF(OR($C180="禁售",$C180="需资质"),"⛔"&amp;$C180&amp;"·不应进入利润表",IF($V180&lt;=0,"❗贡献率≤0·任何价都亏损",IF($E180&lt;$X180,"⛔低于保本价·亏损",IF($Y180="","⚠️目标不可达·需降本",IF($E180&lt;$Y180,"⚠️低于红线·未达目标利润率","✅达目标利润率"))))))</f>
        <v/>
      </c>
    </row>
    <row r="181">
      <c r="A181" s="52" t="n"/>
      <c r="B181" s="46">
        <f>IFERROR(VLOOKUP($A181,'SKU主表'!$A:$M,2,0),"")</f>
        <v/>
      </c>
      <c r="C181" s="47">
        <f>IFERROR(VLOOKUP($A181,'SKU主表'!$A:$M,9,0),"")</f>
        <v/>
      </c>
      <c r="D181" s="47">
        <f>IFERROR(VLOOKUP($A181,'SKU主表'!$A:$M,5,0),"")</f>
        <v/>
      </c>
      <c r="E181" s="58" t="n"/>
      <c r="F181" s="58" t="n"/>
      <c r="G181" s="59" t="n"/>
      <c r="H181" s="59">
        <f>'参数配置'!$D$22</f>
        <v/>
      </c>
      <c r="I181" s="56">
        <f>IF($D181="","",$D181/'参数配置'!$B$5)</f>
        <v/>
      </c>
      <c r="J181" s="56">
        <f>IF($E181="","",$E181*$H181)</f>
        <v/>
      </c>
      <c r="K181" s="56">
        <f>IF($E181="","",$E181*'参数配置'!$D$20)</f>
        <v/>
      </c>
      <c r="L181" s="56">
        <f>IF($E181="","",'参数配置'!$D$21)</f>
        <v/>
      </c>
      <c r="M181" s="56">
        <f>IF($E181="","",$E181*'参数配置'!$B$8)</f>
        <v/>
      </c>
      <c r="N181" s="56">
        <f>IF($E181="","",IF($E181&lt;='参数配置'!$B$7,$E181*'参数配置'!$B$6,0))</f>
        <v/>
      </c>
      <c r="O181" s="56">
        <f>IF($E181="","",$E181*$G181)</f>
        <v/>
      </c>
      <c r="P181" s="56">
        <f>IF($E181="","",$E181*'参数配置'!$B$10)</f>
        <v/>
      </c>
      <c r="Q181" s="56">
        <f>IF($E181="","",$E181*'参数配置'!$B$11)</f>
        <v/>
      </c>
      <c r="R181" s="56">
        <f>IF($E181="","",$I181+$F181+$J181+$K181+$L181+$M181+$N181+$O181+$P181+$Q181)</f>
        <v/>
      </c>
      <c r="S181" s="56">
        <f>IF($E181="","",$E181-$R181)</f>
        <v/>
      </c>
      <c r="T181" s="57">
        <f>IF(OR($E181="",$E181=0),"",$S181/$E181)</f>
        <v/>
      </c>
      <c r="U181" s="38">
        <f>IF($E181="","",$S181*'参数配置'!$B$5)</f>
        <v/>
      </c>
      <c r="V181" s="57">
        <f>IF($E181="","",1-$H181-'参数配置'!$D$20-'参数配置'!$B$8-$G181-'参数配置'!$B$10-'参数配置'!$B$11-IF($E181&lt;='参数配置'!$B$7,'参数配置'!$B$6,0))</f>
        <v/>
      </c>
      <c r="W181" s="56">
        <f>IF($E181="","",$I181+$F181+$L181)</f>
        <v/>
      </c>
      <c r="X181" s="56">
        <f>IF($E181="","",IF($V181&gt;0,$W181/$V181,""))</f>
        <v/>
      </c>
      <c r="Y181" s="56">
        <f>IF($E181="","",IF(($V181-'参数配置'!$B$9)&gt;0,$W181/($V181-'参数配置'!$B$9),""))</f>
        <v/>
      </c>
      <c r="Z181" s="37">
        <f>IF($E181="","",IF(OR($C181="禁售",$C181="需资质"),"⛔"&amp;$C181&amp;"·不应进入利润表",IF($V181&lt;=0,"❗贡献率≤0·任何价都亏损",IF($E181&lt;$X181,"⛔低于保本价·亏损",IF($Y181="","⚠️目标不可达·需降本",IF($E181&lt;$Y181,"⚠️低于红线·未达目标利润率","✅达目标利润率"))))))</f>
        <v/>
      </c>
    </row>
    <row r="182">
      <c r="A182" s="52" t="n"/>
      <c r="B182" s="46">
        <f>IFERROR(VLOOKUP($A182,'SKU主表'!$A:$M,2,0),"")</f>
        <v/>
      </c>
      <c r="C182" s="47">
        <f>IFERROR(VLOOKUP($A182,'SKU主表'!$A:$M,9,0),"")</f>
        <v/>
      </c>
      <c r="D182" s="47">
        <f>IFERROR(VLOOKUP($A182,'SKU主表'!$A:$M,5,0),"")</f>
        <v/>
      </c>
      <c r="E182" s="58" t="n"/>
      <c r="F182" s="58" t="n"/>
      <c r="G182" s="59" t="n"/>
      <c r="H182" s="59">
        <f>'参数配置'!$D$22</f>
        <v/>
      </c>
      <c r="I182" s="56">
        <f>IF($D182="","",$D182/'参数配置'!$B$5)</f>
        <v/>
      </c>
      <c r="J182" s="56">
        <f>IF($E182="","",$E182*$H182)</f>
        <v/>
      </c>
      <c r="K182" s="56">
        <f>IF($E182="","",$E182*'参数配置'!$D$20)</f>
        <v/>
      </c>
      <c r="L182" s="56">
        <f>IF($E182="","",'参数配置'!$D$21)</f>
        <v/>
      </c>
      <c r="M182" s="56">
        <f>IF($E182="","",$E182*'参数配置'!$B$8)</f>
        <v/>
      </c>
      <c r="N182" s="56">
        <f>IF($E182="","",IF($E182&lt;='参数配置'!$B$7,$E182*'参数配置'!$B$6,0))</f>
        <v/>
      </c>
      <c r="O182" s="56">
        <f>IF($E182="","",$E182*$G182)</f>
        <v/>
      </c>
      <c r="P182" s="56">
        <f>IF($E182="","",$E182*'参数配置'!$B$10)</f>
        <v/>
      </c>
      <c r="Q182" s="56">
        <f>IF($E182="","",$E182*'参数配置'!$B$11)</f>
        <v/>
      </c>
      <c r="R182" s="56">
        <f>IF($E182="","",$I182+$F182+$J182+$K182+$L182+$M182+$N182+$O182+$P182+$Q182)</f>
        <v/>
      </c>
      <c r="S182" s="56">
        <f>IF($E182="","",$E182-$R182)</f>
        <v/>
      </c>
      <c r="T182" s="57">
        <f>IF(OR($E182="",$E182=0),"",$S182/$E182)</f>
        <v/>
      </c>
      <c r="U182" s="38">
        <f>IF($E182="","",$S182*'参数配置'!$B$5)</f>
        <v/>
      </c>
      <c r="V182" s="57">
        <f>IF($E182="","",1-$H182-'参数配置'!$D$20-'参数配置'!$B$8-$G182-'参数配置'!$B$10-'参数配置'!$B$11-IF($E182&lt;='参数配置'!$B$7,'参数配置'!$B$6,0))</f>
        <v/>
      </c>
      <c r="W182" s="56">
        <f>IF($E182="","",$I182+$F182+$L182)</f>
        <v/>
      </c>
      <c r="X182" s="56">
        <f>IF($E182="","",IF($V182&gt;0,$W182/$V182,""))</f>
        <v/>
      </c>
      <c r="Y182" s="56">
        <f>IF($E182="","",IF(($V182-'参数配置'!$B$9)&gt;0,$W182/($V182-'参数配置'!$B$9),""))</f>
        <v/>
      </c>
      <c r="Z182" s="37">
        <f>IF($E182="","",IF(OR($C182="禁售",$C182="需资质"),"⛔"&amp;$C182&amp;"·不应进入利润表",IF($V182&lt;=0,"❗贡献率≤0·任何价都亏损",IF($E182&lt;$X182,"⛔低于保本价·亏损",IF($Y182="","⚠️目标不可达·需降本",IF($E182&lt;$Y182,"⚠️低于红线·未达目标利润率","✅达目标利润率"))))))</f>
        <v/>
      </c>
    </row>
    <row r="183">
      <c r="A183" s="52" t="n"/>
      <c r="B183" s="46">
        <f>IFERROR(VLOOKUP($A183,'SKU主表'!$A:$M,2,0),"")</f>
        <v/>
      </c>
      <c r="C183" s="47">
        <f>IFERROR(VLOOKUP($A183,'SKU主表'!$A:$M,9,0),"")</f>
        <v/>
      </c>
      <c r="D183" s="47">
        <f>IFERROR(VLOOKUP($A183,'SKU主表'!$A:$M,5,0),"")</f>
        <v/>
      </c>
      <c r="E183" s="58" t="n"/>
      <c r="F183" s="58" t="n"/>
      <c r="G183" s="59" t="n"/>
      <c r="H183" s="59">
        <f>'参数配置'!$D$22</f>
        <v/>
      </c>
      <c r="I183" s="56">
        <f>IF($D183="","",$D183/'参数配置'!$B$5)</f>
        <v/>
      </c>
      <c r="J183" s="56">
        <f>IF($E183="","",$E183*$H183)</f>
        <v/>
      </c>
      <c r="K183" s="56">
        <f>IF($E183="","",$E183*'参数配置'!$D$20)</f>
        <v/>
      </c>
      <c r="L183" s="56">
        <f>IF($E183="","",'参数配置'!$D$21)</f>
        <v/>
      </c>
      <c r="M183" s="56">
        <f>IF($E183="","",$E183*'参数配置'!$B$8)</f>
        <v/>
      </c>
      <c r="N183" s="56">
        <f>IF($E183="","",IF($E183&lt;='参数配置'!$B$7,$E183*'参数配置'!$B$6,0))</f>
        <v/>
      </c>
      <c r="O183" s="56">
        <f>IF($E183="","",$E183*$G183)</f>
        <v/>
      </c>
      <c r="P183" s="56">
        <f>IF($E183="","",$E183*'参数配置'!$B$10)</f>
        <v/>
      </c>
      <c r="Q183" s="56">
        <f>IF($E183="","",$E183*'参数配置'!$B$11)</f>
        <v/>
      </c>
      <c r="R183" s="56">
        <f>IF($E183="","",$I183+$F183+$J183+$K183+$L183+$M183+$N183+$O183+$P183+$Q183)</f>
        <v/>
      </c>
      <c r="S183" s="56">
        <f>IF($E183="","",$E183-$R183)</f>
        <v/>
      </c>
      <c r="T183" s="57">
        <f>IF(OR($E183="",$E183=0),"",$S183/$E183)</f>
        <v/>
      </c>
      <c r="U183" s="38">
        <f>IF($E183="","",$S183*'参数配置'!$B$5)</f>
        <v/>
      </c>
      <c r="V183" s="57">
        <f>IF($E183="","",1-$H183-'参数配置'!$D$20-'参数配置'!$B$8-$G183-'参数配置'!$B$10-'参数配置'!$B$11-IF($E183&lt;='参数配置'!$B$7,'参数配置'!$B$6,0))</f>
        <v/>
      </c>
      <c r="W183" s="56">
        <f>IF($E183="","",$I183+$F183+$L183)</f>
        <v/>
      </c>
      <c r="X183" s="56">
        <f>IF($E183="","",IF($V183&gt;0,$W183/$V183,""))</f>
        <v/>
      </c>
      <c r="Y183" s="56">
        <f>IF($E183="","",IF(($V183-'参数配置'!$B$9)&gt;0,$W183/($V183-'参数配置'!$B$9),""))</f>
        <v/>
      </c>
      <c r="Z183" s="37">
        <f>IF($E183="","",IF(OR($C183="禁售",$C183="需资质"),"⛔"&amp;$C183&amp;"·不应进入利润表",IF($V183&lt;=0,"❗贡献率≤0·任何价都亏损",IF($E183&lt;$X183,"⛔低于保本价·亏损",IF($Y183="","⚠️目标不可达·需降本",IF($E183&lt;$Y183,"⚠️低于红线·未达目标利润率","✅达目标利润率"))))))</f>
        <v/>
      </c>
    </row>
    <row r="184">
      <c r="A184" s="52" t="n"/>
      <c r="B184" s="46">
        <f>IFERROR(VLOOKUP($A184,'SKU主表'!$A:$M,2,0),"")</f>
        <v/>
      </c>
      <c r="C184" s="47">
        <f>IFERROR(VLOOKUP($A184,'SKU主表'!$A:$M,9,0),"")</f>
        <v/>
      </c>
      <c r="D184" s="47">
        <f>IFERROR(VLOOKUP($A184,'SKU主表'!$A:$M,5,0),"")</f>
        <v/>
      </c>
      <c r="E184" s="58" t="n"/>
      <c r="F184" s="58" t="n"/>
      <c r="G184" s="59" t="n"/>
      <c r="H184" s="59">
        <f>'参数配置'!$D$22</f>
        <v/>
      </c>
      <c r="I184" s="56">
        <f>IF($D184="","",$D184/'参数配置'!$B$5)</f>
        <v/>
      </c>
      <c r="J184" s="56">
        <f>IF($E184="","",$E184*$H184)</f>
        <v/>
      </c>
      <c r="K184" s="56">
        <f>IF($E184="","",$E184*'参数配置'!$D$20)</f>
        <v/>
      </c>
      <c r="L184" s="56">
        <f>IF($E184="","",'参数配置'!$D$21)</f>
        <v/>
      </c>
      <c r="M184" s="56">
        <f>IF($E184="","",$E184*'参数配置'!$B$8)</f>
        <v/>
      </c>
      <c r="N184" s="56">
        <f>IF($E184="","",IF($E184&lt;='参数配置'!$B$7,$E184*'参数配置'!$B$6,0))</f>
        <v/>
      </c>
      <c r="O184" s="56">
        <f>IF($E184="","",$E184*$G184)</f>
        <v/>
      </c>
      <c r="P184" s="56">
        <f>IF($E184="","",$E184*'参数配置'!$B$10)</f>
        <v/>
      </c>
      <c r="Q184" s="56">
        <f>IF($E184="","",$E184*'参数配置'!$B$11)</f>
        <v/>
      </c>
      <c r="R184" s="56">
        <f>IF($E184="","",$I184+$F184+$J184+$K184+$L184+$M184+$N184+$O184+$P184+$Q184)</f>
        <v/>
      </c>
      <c r="S184" s="56">
        <f>IF($E184="","",$E184-$R184)</f>
        <v/>
      </c>
      <c r="T184" s="57">
        <f>IF(OR($E184="",$E184=0),"",$S184/$E184)</f>
        <v/>
      </c>
      <c r="U184" s="38">
        <f>IF($E184="","",$S184*'参数配置'!$B$5)</f>
        <v/>
      </c>
      <c r="V184" s="57">
        <f>IF($E184="","",1-$H184-'参数配置'!$D$20-'参数配置'!$B$8-$G184-'参数配置'!$B$10-'参数配置'!$B$11-IF($E184&lt;='参数配置'!$B$7,'参数配置'!$B$6,0))</f>
        <v/>
      </c>
      <c r="W184" s="56">
        <f>IF($E184="","",$I184+$F184+$L184)</f>
        <v/>
      </c>
      <c r="X184" s="56">
        <f>IF($E184="","",IF($V184&gt;0,$W184/$V184,""))</f>
        <v/>
      </c>
      <c r="Y184" s="56">
        <f>IF($E184="","",IF(($V184-'参数配置'!$B$9)&gt;0,$W184/($V184-'参数配置'!$B$9),""))</f>
        <v/>
      </c>
      <c r="Z184" s="37">
        <f>IF($E184="","",IF(OR($C184="禁售",$C184="需资质"),"⛔"&amp;$C184&amp;"·不应进入利润表",IF($V184&lt;=0,"❗贡献率≤0·任何价都亏损",IF($E184&lt;$X184,"⛔低于保本价·亏损",IF($Y184="","⚠️目标不可达·需降本",IF($E184&lt;$Y184,"⚠️低于红线·未达目标利润率","✅达目标利润率"))))))</f>
        <v/>
      </c>
    </row>
    <row r="185">
      <c r="A185" s="52" t="n"/>
      <c r="B185" s="46">
        <f>IFERROR(VLOOKUP($A185,'SKU主表'!$A:$M,2,0),"")</f>
        <v/>
      </c>
      <c r="C185" s="47">
        <f>IFERROR(VLOOKUP($A185,'SKU主表'!$A:$M,9,0),"")</f>
        <v/>
      </c>
      <c r="D185" s="47">
        <f>IFERROR(VLOOKUP($A185,'SKU主表'!$A:$M,5,0),"")</f>
        <v/>
      </c>
      <c r="E185" s="58" t="n"/>
      <c r="F185" s="58" t="n"/>
      <c r="G185" s="59" t="n"/>
      <c r="H185" s="59">
        <f>'参数配置'!$D$22</f>
        <v/>
      </c>
      <c r="I185" s="56">
        <f>IF($D185="","",$D185/'参数配置'!$B$5)</f>
        <v/>
      </c>
      <c r="J185" s="56">
        <f>IF($E185="","",$E185*$H185)</f>
        <v/>
      </c>
      <c r="K185" s="56">
        <f>IF($E185="","",$E185*'参数配置'!$D$20)</f>
        <v/>
      </c>
      <c r="L185" s="56">
        <f>IF($E185="","",'参数配置'!$D$21)</f>
        <v/>
      </c>
      <c r="M185" s="56">
        <f>IF($E185="","",$E185*'参数配置'!$B$8)</f>
        <v/>
      </c>
      <c r="N185" s="56">
        <f>IF($E185="","",IF($E185&lt;='参数配置'!$B$7,$E185*'参数配置'!$B$6,0))</f>
        <v/>
      </c>
      <c r="O185" s="56">
        <f>IF($E185="","",$E185*$G185)</f>
        <v/>
      </c>
      <c r="P185" s="56">
        <f>IF($E185="","",$E185*'参数配置'!$B$10)</f>
        <v/>
      </c>
      <c r="Q185" s="56">
        <f>IF($E185="","",$E185*'参数配置'!$B$11)</f>
        <v/>
      </c>
      <c r="R185" s="56">
        <f>IF($E185="","",$I185+$F185+$J185+$K185+$L185+$M185+$N185+$O185+$P185+$Q185)</f>
        <v/>
      </c>
      <c r="S185" s="56">
        <f>IF($E185="","",$E185-$R185)</f>
        <v/>
      </c>
      <c r="T185" s="57">
        <f>IF(OR($E185="",$E185=0),"",$S185/$E185)</f>
        <v/>
      </c>
      <c r="U185" s="38">
        <f>IF($E185="","",$S185*'参数配置'!$B$5)</f>
        <v/>
      </c>
      <c r="V185" s="57">
        <f>IF($E185="","",1-$H185-'参数配置'!$D$20-'参数配置'!$B$8-$G185-'参数配置'!$B$10-'参数配置'!$B$11-IF($E185&lt;='参数配置'!$B$7,'参数配置'!$B$6,0))</f>
        <v/>
      </c>
      <c r="W185" s="56">
        <f>IF($E185="","",$I185+$F185+$L185)</f>
        <v/>
      </c>
      <c r="X185" s="56">
        <f>IF($E185="","",IF($V185&gt;0,$W185/$V185,""))</f>
        <v/>
      </c>
      <c r="Y185" s="56">
        <f>IF($E185="","",IF(($V185-'参数配置'!$B$9)&gt;0,$W185/($V185-'参数配置'!$B$9),""))</f>
        <v/>
      </c>
      <c r="Z185" s="37">
        <f>IF($E185="","",IF(OR($C185="禁售",$C185="需资质"),"⛔"&amp;$C185&amp;"·不应进入利润表",IF($V185&lt;=0,"❗贡献率≤0·任何价都亏损",IF($E185&lt;$X185,"⛔低于保本价·亏损",IF($Y185="","⚠️目标不可达·需降本",IF($E185&lt;$Y185,"⚠️低于红线·未达目标利润率","✅达目标利润率"))))))</f>
        <v/>
      </c>
    </row>
    <row r="186">
      <c r="A186" s="52" t="n"/>
      <c r="B186" s="46">
        <f>IFERROR(VLOOKUP($A186,'SKU主表'!$A:$M,2,0),"")</f>
        <v/>
      </c>
      <c r="C186" s="47">
        <f>IFERROR(VLOOKUP($A186,'SKU主表'!$A:$M,9,0),"")</f>
        <v/>
      </c>
      <c r="D186" s="47">
        <f>IFERROR(VLOOKUP($A186,'SKU主表'!$A:$M,5,0),"")</f>
        <v/>
      </c>
      <c r="E186" s="58" t="n"/>
      <c r="F186" s="58" t="n"/>
      <c r="G186" s="59" t="n"/>
      <c r="H186" s="59">
        <f>'参数配置'!$D$22</f>
        <v/>
      </c>
      <c r="I186" s="56">
        <f>IF($D186="","",$D186/'参数配置'!$B$5)</f>
        <v/>
      </c>
      <c r="J186" s="56">
        <f>IF($E186="","",$E186*$H186)</f>
        <v/>
      </c>
      <c r="K186" s="56">
        <f>IF($E186="","",$E186*'参数配置'!$D$20)</f>
        <v/>
      </c>
      <c r="L186" s="56">
        <f>IF($E186="","",'参数配置'!$D$21)</f>
        <v/>
      </c>
      <c r="M186" s="56">
        <f>IF($E186="","",$E186*'参数配置'!$B$8)</f>
        <v/>
      </c>
      <c r="N186" s="56">
        <f>IF($E186="","",IF($E186&lt;='参数配置'!$B$7,$E186*'参数配置'!$B$6,0))</f>
        <v/>
      </c>
      <c r="O186" s="56">
        <f>IF($E186="","",$E186*$G186)</f>
        <v/>
      </c>
      <c r="P186" s="56">
        <f>IF($E186="","",$E186*'参数配置'!$B$10)</f>
        <v/>
      </c>
      <c r="Q186" s="56">
        <f>IF($E186="","",$E186*'参数配置'!$B$11)</f>
        <v/>
      </c>
      <c r="R186" s="56">
        <f>IF($E186="","",$I186+$F186+$J186+$K186+$L186+$M186+$N186+$O186+$P186+$Q186)</f>
        <v/>
      </c>
      <c r="S186" s="56">
        <f>IF($E186="","",$E186-$R186)</f>
        <v/>
      </c>
      <c r="T186" s="57">
        <f>IF(OR($E186="",$E186=0),"",$S186/$E186)</f>
        <v/>
      </c>
      <c r="U186" s="38">
        <f>IF($E186="","",$S186*'参数配置'!$B$5)</f>
        <v/>
      </c>
      <c r="V186" s="57">
        <f>IF($E186="","",1-$H186-'参数配置'!$D$20-'参数配置'!$B$8-$G186-'参数配置'!$B$10-'参数配置'!$B$11-IF($E186&lt;='参数配置'!$B$7,'参数配置'!$B$6,0))</f>
        <v/>
      </c>
      <c r="W186" s="56">
        <f>IF($E186="","",$I186+$F186+$L186)</f>
        <v/>
      </c>
      <c r="X186" s="56">
        <f>IF($E186="","",IF($V186&gt;0,$W186/$V186,""))</f>
        <v/>
      </c>
      <c r="Y186" s="56">
        <f>IF($E186="","",IF(($V186-'参数配置'!$B$9)&gt;0,$W186/($V186-'参数配置'!$B$9),""))</f>
        <v/>
      </c>
      <c r="Z186" s="37">
        <f>IF($E186="","",IF(OR($C186="禁售",$C186="需资质"),"⛔"&amp;$C186&amp;"·不应进入利润表",IF($V186&lt;=0,"❗贡献率≤0·任何价都亏损",IF($E186&lt;$X186,"⛔低于保本价·亏损",IF($Y186="","⚠️目标不可达·需降本",IF($E186&lt;$Y186,"⚠️低于红线·未达目标利润率","✅达目标利润率"))))))</f>
        <v/>
      </c>
    </row>
    <row r="187">
      <c r="A187" s="52" t="n"/>
      <c r="B187" s="46">
        <f>IFERROR(VLOOKUP($A187,'SKU主表'!$A:$M,2,0),"")</f>
        <v/>
      </c>
      <c r="C187" s="47">
        <f>IFERROR(VLOOKUP($A187,'SKU主表'!$A:$M,9,0),"")</f>
        <v/>
      </c>
      <c r="D187" s="47">
        <f>IFERROR(VLOOKUP($A187,'SKU主表'!$A:$M,5,0),"")</f>
        <v/>
      </c>
      <c r="E187" s="58" t="n"/>
      <c r="F187" s="58" t="n"/>
      <c r="G187" s="59" t="n"/>
      <c r="H187" s="59">
        <f>'参数配置'!$D$22</f>
        <v/>
      </c>
      <c r="I187" s="56">
        <f>IF($D187="","",$D187/'参数配置'!$B$5)</f>
        <v/>
      </c>
      <c r="J187" s="56">
        <f>IF($E187="","",$E187*$H187)</f>
        <v/>
      </c>
      <c r="K187" s="56">
        <f>IF($E187="","",$E187*'参数配置'!$D$20)</f>
        <v/>
      </c>
      <c r="L187" s="56">
        <f>IF($E187="","",'参数配置'!$D$21)</f>
        <v/>
      </c>
      <c r="M187" s="56">
        <f>IF($E187="","",$E187*'参数配置'!$B$8)</f>
        <v/>
      </c>
      <c r="N187" s="56">
        <f>IF($E187="","",IF($E187&lt;='参数配置'!$B$7,$E187*'参数配置'!$B$6,0))</f>
        <v/>
      </c>
      <c r="O187" s="56">
        <f>IF($E187="","",$E187*$G187)</f>
        <v/>
      </c>
      <c r="P187" s="56">
        <f>IF($E187="","",$E187*'参数配置'!$B$10)</f>
        <v/>
      </c>
      <c r="Q187" s="56">
        <f>IF($E187="","",$E187*'参数配置'!$B$11)</f>
        <v/>
      </c>
      <c r="R187" s="56">
        <f>IF($E187="","",$I187+$F187+$J187+$K187+$L187+$M187+$N187+$O187+$P187+$Q187)</f>
        <v/>
      </c>
      <c r="S187" s="56">
        <f>IF($E187="","",$E187-$R187)</f>
        <v/>
      </c>
      <c r="T187" s="57">
        <f>IF(OR($E187="",$E187=0),"",$S187/$E187)</f>
        <v/>
      </c>
      <c r="U187" s="38">
        <f>IF($E187="","",$S187*'参数配置'!$B$5)</f>
        <v/>
      </c>
      <c r="V187" s="57">
        <f>IF($E187="","",1-$H187-'参数配置'!$D$20-'参数配置'!$B$8-$G187-'参数配置'!$B$10-'参数配置'!$B$11-IF($E187&lt;='参数配置'!$B$7,'参数配置'!$B$6,0))</f>
        <v/>
      </c>
      <c r="W187" s="56">
        <f>IF($E187="","",$I187+$F187+$L187)</f>
        <v/>
      </c>
      <c r="X187" s="56">
        <f>IF($E187="","",IF($V187&gt;0,$W187/$V187,""))</f>
        <v/>
      </c>
      <c r="Y187" s="56">
        <f>IF($E187="","",IF(($V187-'参数配置'!$B$9)&gt;0,$W187/($V187-'参数配置'!$B$9),""))</f>
        <v/>
      </c>
      <c r="Z187" s="37">
        <f>IF($E187="","",IF(OR($C187="禁售",$C187="需资质"),"⛔"&amp;$C187&amp;"·不应进入利润表",IF($V187&lt;=0,"❗贡献率≤0·任何价都亏损",IF($E187&lt;$X187,"⛔低于保本价·亏损",IF($Y187="","⚠️目标不可达·需降本",IF($E187&lt;$Y187,"⚠️低于红线·未达目标利润率","✅达目标利润率"))))))</f>
        <v/>
      </c>
    </row>
    <row r="188">
      <c r="A188" s="52" t="n"/>
      <c r="B188" s="46">
        <f>IFERROR(VLOOKUP($A188,'SKU主表'!$A:$M,2,0),"")</f>
        <v/>
      </c>
      <c r="C188" s="47">
        <f>IFERROR(VLOOKUP($A188,'SKU主表'!$A:$M,9,0),"")</f>
        <v/>
      </c>
      <c r="D188" s="47">
        <f>IFERROR(VLOOKUP($A188,'SKU主表'!$A:$M,5,0),"")</f>
        <v/>
      </c>
      <c r="E188" s="58" t="n"/>
      <c r="F188" s="58" t="n"/>
      <c r="G188" s="59" t="n"/>
      <c r="H188" s="59">
        <f>'参数配置'!$D$22</f>
        <v/>
      </c>
      <c r="I188" s="56">
        <f>IF($D188="","",$D188/'参数配置'!$B$5)</f>
        <v/>
      </c>
      <c r="J188" s="56">
        <f>IF($E188="","",$E188*$H188)</f>
        <v/>
      </c>
      <c r="K188" s="56">
        <f>IF($E188="","",$E188*'参数配置'!$D$20)</f>
        <v/>
      </c>
      <c r="L188" s="56">
        <f>IF($E188="","",'参数配置'!$D$21)</f>
        <v/>
      </c>
      <c r="M188" s="56">
        <f>IF($E188="","",$E188*'参数配置'!$B$8)</f>
        <v/>
      </c>
      <c r="N188" s="56">
        <f>IF($E188="","",IF($E188&lt;='参数配置'!$B$7,$E188*'参数配置'!$B$6,0))</f>
        <v/>
      </c>
      <c r="O188" s="56">
        <f>IF($E188="","",$E188*$G188)</f>
        <v/>
      </c>
      <c r="P188" s="56">
        <f>IF($E188="","",$E188*'参数配置'!$B$10)</f>
        <v/>
      </c>
      <c r="Q188" s="56">
        <f>IF($E188="","",$E188*'参数配置'!$B$11)</f>
        <v/>
      </c>
      <c r="R188" s="56">
        <f>IF($E188="","",$I188+$F188+$J188+$K188+$L188+$M188+$N188+$O188+$P188+$Q188)</f>
        <v/>
      </c>
      <c r="S188" s="56">
        <f>IF($E188="","",$E188-$R188)</f>
        <v/>
      </c>
      <c r="T188" s="57">
        <f>IF(OR($E188="",$E188=0),"",$S188/$E188)</f>
        <v/>
      </c>
      <c r="U188" s="38">
        <f>IF($E188="","",$S188*'参数配置'!$B$5)</f>
        <v/>
      </c>
      <c r="V188" s="57">
        <f>IF($E188="","",1-$H188-'参数配置'!$D$20-'参数配置'!$B$8-$G188-'参数配置'!$B$10-'参数配置'!$B$11-IF($E188&lt;='参数配置'!$B$7,'参数配置'!$B$6,0))</f>
        <v/>
      </c>
      <c r="W188" s="56">
        <f>IF($E188="","",$I188+$F188+$L188)</f>
        <v/>
      </c>
      <c r="X188" s="56">
        <f>IF($E188="","",IF($V188&gt;0,$W188/$V188,""))</f>
        <v/>
      </c>
      <c r="Y188" s="56">
        <f>IF($E188="","",IF(($V188-'参数配置'!$B$9)&gt;0,$W188/($V188-'参数配置'!$B$9),""))</f>
        <v/>
      </c>
      <c r="Z188" s="37">
        <f>IF($E188="","",IF(OR($C188="禁售",$C188="需资质"),"⛔"&amp;$C188&amp;"·不应进入利润表",IF($V188&lt;=0,"❗贡献率≤0·任何价都亏损",IF($E188&lt;$X188,"⛔低于保本价·亏损",IF($Y188="","⚠️目标不可达·需降本",IF($E188&lt;$Y188,"⚠️低于红线·未达目标利润率","✅达目标利润率"))))))</f>
        <v/>
      </c>
    </row>
    <row r="189">
      <c r="A189" s="52" t="n"/>
      <c r="B189" s="46">
        <f>IFERROR(VLOOKUP($A189,'SKU主表'!$A:$M,2,0),"")</f>
        <v/>
      </c>
      <c r="C189" s="47">
        <f>IFERROR(VLOOKUP($A189,'SKU主表'!$A:$M,9,0),"")</f>
        <v/>
      </c>
      <c r="D189" s="47">
        <f>IFERROR(VLOOKUP($A189,'SKU主表'!$A:$M,5,0),"")</f>
        <v/>
      </c>
      <c r="E189" s="58" t="n"/>
      <c r="F189" s="58" t="n"/>
      <c r="G189" s="59" t="n"/>
      <c r="H189" s="59">
        <f>'参数配置'!$D$22</f>
        <v/>
      </c>
      <c r="I189" s="56">
        <f>IF($D189="","",$D189/'参数配置'!$B$5)</f>
        <v/>
      </c>
      <c r="J189" s="56">
        <f>IF($E189="","",$E189*$H189)</f>
        <v/>
      </c>
      <c r="K189" s="56">
        <f>IF($E189="","",$E189*'参数配置'!$D$20)</f>
        <v/>
      </c>
      <c r="L189" s="56">
        <f>IF($E189="","",'参数配置'!$D$21)</f>
        <v/>
      </c>
      <c r="M189" s="56">
        <f>IF($E189="","",$E189*'参数配置'!$B$8)</f>
        <v/>
      </c>
      <c r="N189" s="56">
        <f>IF($E189="","",IF($E189&lt;='参数配置'!$B$7,$E189*'参数配置'!$B$6,0))</f>
        <v/>
      </c>
      <c r="O189" s="56">
        <f>IF($E189="","",$E189*$G189)</f>
        <v/>
      </c>
      <c r="P189" s="56">
        <f>IF($E189="","",$E189*'参数配置'!$B$10)</f>
        <v/>
      </c>
      <c r="Q189" s="56">
        <f>IF($E189="","",$E189*'参数配置'!$B$11)</f>
        <v/>
      </c>
      <c r="R189" s="56">
        <f>IF($E189="","",$I189+$F189+$J189+$K189+$L189+$M189+$N189+$O189+$P189+$Q189)</f>
        <v/>
      </c>
      <c r="S189" s="56">
        <f>IF($E189="","",$E189-$R189)</f>
        <v/>
      </c>
      <c r="T189" s="57">
        <f>IF(OR($E189="",$E189=0),"",$S189/$E189)</f>
        <v/>
      </c>
      <c r="U189" s="38">
        <f>IF($E189="","",$S189*'参数配置'!$B$5)</f>
        <v/>
      </c>
      <c r="V189" s="57">
        <f>IF($E189="","",1-$H189-'参数配置'!$D$20-'参数配置'!$B$8-$G189-'参数配置'!$B$10-'参数配置'!$B$11-IF($E189&lt;='参数配置'!$B$7,'参数配置'!$B$6,0))</f>
        <v/>
      </c>
      <c r="W189" s="56">
        <f>IF($E189="","",$I189+$F189+$L189)</f>
        <v/>
      </c>
      <c r="X189" s="56">
        <f>IF($E189="","",IF($V189&gt;0,$W189/$V189,""))</f>
        <v/>
      </c>
      <c r="Y189" s="56">
        <f>IF($E189="","",IF(($V189-'参数配置'!$B$9)&gt;0,$W189/($V189-'参数配置'!$B$9),""))</f>
        <v/>
      </c>
      <c r="Z189" s="37">
        <f>IF($E189="","",IF(OR($C189="禁售",$C189="需资质"),"⛔"&amp;$C189&amp;"·不应进入利润表",IF($V189&lt;=0,"❗贡献率≤0·任何价都亏损",IF($E189&lt;$X189,"⛔低于保本价·亏损",IF($Y189="","⚠️目标不可达·需降本",IF($E189&lt;$Y189,"⚠️低于红线·未达目标利润率","✅达目标利润率"))))))</f>
        <v/>
      </c>
    </row>
    <row r="190">
      <c r="A190" s="52" t="n"/>
      <c r="B190" s="46">
        <f>IFERROR(VLOOKUP($A190,'SKU主表'!$A:$M,2,0),"")</f>
        <v/>
      </c>
      <c r="C190" s="47">
        <f>IFERROR(VLOOKUP($A190,'SKU主表'!$A:$M,9,0),"")</f>
        <v/>
      </c>
      <c r="D190" s="47">
        <f>IFERROR(VLOOKUP($A190,'SKU主表'!$A:$M,5,0),"")</f>
        <v/>
      </c>
      <c r="E190" s="58" t="n"/>
      <c r="F190" s="58" t="n"/>
      <c r="G190" s="59" t="n"/>
      <c r="H190" s="59">
        <f>'参数配置'!$D$22</f>
        <v/>
      </c>
      <c r="I190" s="56">
        <f>IF($D190="","",$D190/'参数配置'!$B$5)</f>
        <v/>
      </c>
      <c r="J190" s="56">
        <f>IF($E190="","",$E190*$H190)</f>
        <v/>
      </c>
      <c r="K190" s="56">
        <f>IF($E190="","",$E190*'参数配置'!$D$20)</f>
        <v/>
      </c>
      <c r="L190" s="56">
        <f>IF($E190="","",'参数配置'!$D$21)</f>
        <v/>
      </c>
      <c r="M190" s="56">
        <f>IF($E190="","",$E190*'参数配置'!$B$8)</f>
        <v/>
      </c>
      <c r="N190" s="56">
        <f>IF($E190="","",IF($E190&lt;='参数配置'!$B$7,$E190*'参数配置'!$B$6,0))</f>
        <v/>
      </c>
      <c r="O190" s="56">
        <f>IF($E190="","",$E190*$G190)</f>
        <v/>
      </c>
      <c r="P190" s="56">
        <f>IF($E190="","",$E190*'参数配置'!$B$10)</f>
        <v/>
      </c>
      <c r="Q190" s="56">
        <f>IF($E190="","",$E190*'参数配置'!$B$11)</f>
        <v/>
      </c>
      <c r="R190" s="56">
        <f>IF($E190="","",$I190+$F190+$J190+$K190+$L190+$M190+$N190+$O190+$P190+$Q190)</f>
        <v/>
      </c>
      <c r="S190" s="56">
        <f>IF($E190="","",$E190-$R190)</f>
        <v/>
      </c>
      <c r="T190" s="57">
        <f>IF(OR($E190="",$E190=0),"",$S190/$E190)</f>
        <v/>
      </c>
      <c r="U190" s="38">
        <f>IF($E190="","",$S190*'参数配置'!$B$5)</f>
        <v/>
      </c>
      <c r="V190" s="57">
        <f>IF($E190="","",1-$H190-'参数配置'!$D$20-'参数配置'!$B$8-$G190-'参数配置'!$B$10-'参数配置'!$B$11-IF($E190&lt;='参数配置'!$B$7,'参数配置'!$B$6,0))</f>
        <v/>
      </c>
      <c r="W190" s="56">
        <f>IF($E190="","",$I190+$F190+$L190)</f>
        <v/>
      </c>
      <c r="X190" s="56">
        <f>IF($E190="","",IF($V190&gt;0,$W190/$V190,""))</f>
        <v/>
      </c>
      <c r="Y190" s="56">
        <f>IF($E190="","",IF(($V190-'参数配置'!$B$9)&gt;0,$W190/($V190-'参数配置'!$B$9),""))</f>
        <v/>
      </c>
      <c r="Z190" s="37">
        <f>IF($E190="","",IF(OR($C190="禁售",$C190="需资质"),"⛔"&amp;$C190&amp;"·不应进入利润表",IF($V190&lt;=0,"❗贡献率≤0·任何价都亏损",IF($E190&lt;$X190,"⛔低于保本价·亏损",IF($Y190="","⚠️目标不可达·需降本",IF($E190&lt;$Y190,"⚠️低于红线·未达目标利润率","✅达目标利润率"))))))</f>
        <v/>
      </c>
    </row>
    <row r="191">
      <c r="A191" s="52" t="n"/>
      <c r="B191" s="46">
        <f>IFERROR(VLOOKUP($A191,'SKU主表'!$A:$M,2,0),"")</f>
        <v/>
      </c>
      <c r="C191" s="47">
        <f>IFERROR(VLOOKUP($A191,'SKU主表'!$A:$M,9,0),"")</f>
        <v/>
      </c>
      <c r="D191" s="47">
        <f>IFERROR(VLOOKUP($A191,'SKU主表'!$A:$M,5,0),"")</f>
        <v/>
      </c>
      <c r="E191" s="58" t="n"/>
      <c r="F191" s="58" t="n"/>
      <c r="G191" s="59" t="n"/>
      <c r="H191" s="59">
        <f>'参数配置'!$D$22</f>
        <v/>
      </c>
      <c r="I191" s="56">
        <f>IF($D191="","",$D191/'参数配置'!$B$5)</f>
        <v/>
      </c>
      <c r="J191" s="56">
        <f>IF($E191="","",$E191*$H191)</f>
        <v/>
      </c>
      <c r="K191" s="56">
        <f>IF($E191="","",$E191*'参数配置'!$D$20)</f>
        <v/>
      </c>
      <c r="L191" s="56">
        <f>IF($E191="","",'参数配置'!$D$21)</f>
        <v/>
      </c>
      <c r="M191" s="56">
        <f>IF($E191="","",$E191*'参数配置'!$B$8)</f>
        <v/>
      </c>
      <c r="N191" s="56">
        <f>IF($E191="","",IF($E191&lt;='参数配置'!$B$7,$E191*'参数配置'!$B$6,0))</f>
        <v/>
      </c>
      <c r="O191" s="56">
        <f>IF($E191="","",$E191*$G191)</f>
        <v/>
      </c>
      <c r="P191" s="56">
        <f>IF($E191="","",$E191*'参数配置'!$B$10)</f>
        <v/>
      </c>
      <c r="Q191" s="56">
        <f>IF($E191="","",$E191*'参数配置'!$B$11)</f>
        <v/>
      </c>
      <c r="R191" s="56">
        <f>IF($E191="","",$I191+$F191+$J191+$K191+$L191+$M191+$N191+$O191+$P191+$Q191)</f>
        <v/>
      </c>
      <c r="S191" s="56">
        <f>IF($E191="","",$E191-$R191)</f>
        <v/>
      </c>
      <c r="T191" s="57">
        <f>IF(OR($E191="",$E191=0),"",$S191/$E191)</f>
        <v/>
      </c>
      <c r="U191" s="38">
        <f>IF($E191="","",$S191*'参数配置'!$B$5)</f>
        <v/>
      </c>
      <c r="V191" s="57">
        <f>IF($E191="","",1-$H191-'参数配置'!$D$20-'参数配置'!$B$8-$G191-'参数配置'!$B$10-'参数配置'!$B$11-IF($E191&lt;='参数配置'!$B$7,'参数配置'!$B$6,0))</f>
        <v/>
      </c>
      <c r="W191" s="56">
        <f>IF($E191="","",$I191+$F191+$L191)</f>
        <v/>
      </c>
      <c r="X191" s="56">
        <f>IF($E191="","",IF($V191&gt;0,$W191/$V191,""))</f>
        <v/>
      </c>
      <c r="Y191" s="56">
        <f>IF($E191="","",IF(($V191-'参数配置'!$B$9)&gt;0,$W191/($V191-'参数配置'!$B$9),""))</f>
        <v/>
      </c>
      <c r="Z191" s="37">
        <f>IF($E191="","",IF(OR($C191="禁售",$C191="需资质"),"⛔"&amp;$C191&amp;"·不应进入利润表",IF($V191&lt;=0,"❗贡献率≤0·任何价都亏损",IF($E191&lt;$X191,"⛔低于保本价·亏损",IF($Y191="","⚠️目标不可达·需降本",IF($E191&lt;$Y191,"⚠️低于红线·未达目标利润率","✅达目标利润率"))))))</f>
        <v/>
      </c>
    </row>
    <row r="192">
      <c r="A192" s="52" t="n"/>
      <c r="B192" s="46">
        <f>IFERROR(VLOOKUP($A192,'SKU主表'!$A:$M,2,0),"")</f>
        <v/>
      </c>
      <c r="C192" s="47">
        <f>IFERROR(VLOOKUP($A192,'SKU主表'!$A:$M,9,0),"")</f>
        <v/>
      </c>
      <c r="D192" s="47">
        <f>IFERROR(VLOOKUP($A192,'SKU主表'!$A:$M,5,0),"")</f>
        <v/>
      </c>
      <c r="E192" s="58" t="n"/>
      <c r="F192" s="58" t="n"/>
      <c r="G192" s="59" t="n"/>
      <c r="H192" s="59">
        <f>'参数配置'!$D$22</f>
        <v/>
      </c>
      <c r="I192" s="56">
        <f>IF($D192="","",$D192/'参数配置'!$B$5)</f>
        <v/>
      </c>
      <c r="J192" s="56">
        <f>IF($E192="","",$E192*$H192)</f>
        <v/>
      </c>
      <c r="K192" s="56">
        <f>IF($E192="","",$E192*'参数配置'!$D$20)</f>
        <v/>
      </c>
      <c r="L192" s="56">
        <f>IF($E192="","",'参数配置'!$D$21)</f>
        <v/>
      </c>
      <c r="M192" s="56">
        <f>IF($E192="","",$E192*'参数配置'!$B$8)</f>
        <v/>
      </c>
      <c r="N192" s="56">
        <f>IF($E192="","",IF($E192&lt;='参数配置'!$B$7,$E192*'参数配置'!$B$6,0))</f>
        <v/>
      </c>
      <c r="O192" s="56">
        <f>IF($E192="","",$E192*$G192)</f>
        <v/>
      </c>
      <c r="P192" s="56">
        <f>IF($E192="","",$E192*'参数配置'!$B$10)</f>
        <v/>
      </c>
      <c r="Q192" s="56">
        <f>IF($E192="","",$E192*'参数配置'!$B$11)</f>
        <v/>
      </c>
      <c r="R192" s="56">
        <f>IF($E192="","",$I192+$F192+$J192+$K192+$L192+$M192+$N192+$O192+$P192+$Q192)</f>
        <v/>
      </c>
      <c r="S192" s="56">
        <f>IF($E192="","",$E192-$R192)</f>
        <v/>
      </c>
      <c r="T192" s="57">
        <f>IF(OR($E192="",$E192=0),"",$S192/$E192)</f>
        <v/>
      </c>
      <c r="U192" s="38">
        <f>IF($E192="","",$S192*'参数配置'!$B$5)</f>
        <v/>
      </c>
      <c r="V192" s="57">
        <f>IF($E192="","",1-$H192-'参数配置'!$D$20-'参数配置'!$B$8-$G192-'参数配置'!$B$10-'参数配置'!$B$11-IF($E192&lt;='参数配置'!$B$7,'参数配置'!$B$6,0))</f>
        <v/>
      </c>
      <c r="W192" s="56">
        <f>IF($E192="","",$I192+$F192+$L192)</f>
        <v/>
      </c>
      <c r="X192" s="56">
        <f>IF($E192="","",IF($V192&gt;0,$W192/$V192,""))</f>
        <v/>
      </c>
      <c r="Y192" s="56">
        <f>IF($E192="","",IF(($V192-'参数配置'!$B$9)&gt;0,$W192/($V192-'参数配置'!$B$9),""))</f>
        <v/>
      </c>
      <c r="Z192" s="37">
        <f>IF($E192="","",IF(OR($C192="禁售",$C192="需资质"),"⛔"&amp;$C192&amp;"·不应进入利润表",IF($V192&lt;=0,"❗贡献率≤0·任何价都亏损",IF($E192&lt;$X192,"⛔低于保本价·亏损",IF($Y192="","⚠️目标不可达·需降本",IF($E192&lt;$Y192,"⚠️低于红线·未达目标利润率","✅达目标利润率"))))))</f>
        <v/>
      </c>
    </row>
    <row r="193">
      <c r="A193" s="52" t="n"/>
      <c r="B193" s="46">
        <f>IFERROR(VLOOKUP($A193,'SKU主表'!$A:$M,2,0),"")</f>
        <v/>
      </c>
      <c r="C193" s="47">
        <f>IFERROR(VLOOKUP($A193,'SKU主表'!$A:$M,9,0),"")</f>
        <v/>
      </c>
      <c r="D193" s="47">
        <f>IFERROR(VLOOKUP($A193,'SKU主表'!$A:$M,5,0),"")</f>
        <v/>
      </c>
      <c r="E193" s="58" t="n"/>
      <c r="F193" s="58" t="n"/>
      <c r="G193" s="59" t="n"/>
      <c r="H193" s="59">
        <f>'参数配置'!$D$22</f>
        <v/>
      </c>
      <c r="I193" s="56">
        <f>IF($D193="","",$D193/'参数配置'!$B$5)</f>
        <v/>
      </c>
      <c r="J193" s="56">
        <f>IF($E193="","",$E193*$H193)</f>
        <v/>
      </c>
      <c r="K193" s="56">
        <f>IF($E193="","",$E193*'参数配置'!$D$20)</f>
        <v/>
      </c>
      <c r="L193" s="56">
        <f>IF($E193="","",'参数配置'!$D$21)</f>
        <v/>
      </c>
      <c r="M193" s="56">
        <f>IF($E193="","",$E193*'参数配置'!$B$8)</f>
        <v/>
      </c>
      <c r="N193" s="56">
        <f>IF($E193="","",IF($E193&lt;='参数配置'!$B$7,$E193*'参数配置'!$B$6,0))</f>
        <v/>
      </c>
      <c r="O193" s="56">
        <f>IF($E193="","",$E193*$G193)</f>
        <v/>
      </c>
      <c r="P193" s="56">
        <f>IF($E193="","",$E193*'参数配置'!$B$10)</f>
        <v/>
      </c>
      <c r="Q193" s="56">
        <f>IF($E193="","",$E193*'参数配置'!$B$11)</f>
        <v/>
      </c>
      <c r="R193" s="56">
        <f>IF($E193="","",$I193+$F193+$J193+$K193+$L193+$M193+$N193+$O193+$P193+$Q193)</f>
        <v/>
      </c>
      <c r="S193" s="56">
        <f>IF($E193="","",$E193-$R193)</f>
        <v/>
      </c>
      <c r="T193" s="57">
        <f>IF(OR($E193="",$E193=0),"",$S193/$E193)</f>
        <v/>
      </c>
      <c r="U193" s="38">
        <f>IF($E193="","",$S193*'参数配置'!$B$5)</f>
        <v/>
      </c>
      <c r="V193" s="57">
        <f>IF($E193="","",1-$H193-'参数配置'!$D$20-'参数配置'!$B$8-$G193-'参数配置'!$B$10-'参数配置'!$B$11-IF($E193&lt;='参数配置'!$B$7,'参数配置'!$B$6,0))</f>
        <v/>
      </c>
      <c r="W193" s="56">
        <f>IF($E193="","",$I193+$F193+$L193)</f>
        <v/>
      </c>
      <c r="X193" s="56">
        <f>IF($E193="","",IF($V193&gt;0,$W193/$V193,""))</f>
        <v/>
      </c>
      <c r="Y193" s="56">
        <f>IF($E193="","",IF(($V193-'参数配置'!$B$9)&gt;0,$W193/($V193-'参数配置'!$B$9),""))</f>
        <v/>
      </c>
      <c r="Z193" s="37">
        <f>IF($E193="","",IF(OR($C193="禁售",$C193="需资质"),"⛔"&amp;$C193&amp;"·不应进入利润表",IF($V193&lt;=0,"❗贡献率≤0·任何价都亏损",IF($E193&lt;$X193,"⛔低于保本价·亏损",IF($Y193="","⚠️目标不可达·需降本",IF($E193&lt;$Y193,"⚠️低于红线·未达目标利润率","✅达目标利润率"))))))</f>
        <v/>
      </c>
    </row>
    <row r="194">
      <c r="A194" s="52" t="n"/>
      <c r="B194" s="46">
        <f>IFERROR(VLOOKUP($A194,'SKU主表'!$A:$M,2,0),"")</f>
        <v/>
      </c>
      <c r="C194" s="47">
        <f>IFERROR(VLOOKUP($A194,'SKU主表'!$A:$M,9,0),"")</f>
        <v/>
      </c>
      <c r="D194" s="47">
        <f>IFERROR(VLOOKUP($A194,'SKU主表'!$A:$M,5,0),"")</f>
        <v/>
      </c>
      <c r="E194" s="58" t="n"/>
      <c r="F194" s="58" t="n"/>
      <c r="G194" s="59" t="n"/>
      <c r="H194" s="59">
        <f>'参数配置'!$D$22</f>
        <v/>
      </c>
      <c r="I194" s="56">
        <f>IF($D194="","",$D194/'参数配置'!$B$5)</f>
        <v/>
      </c>
      <c r="J194" s="56">
        <f>IF($E194="","",$E194*$H194)</f>
        <v/>
      </c>
      <c r="K194" s="56">
        <f>IF($E194="","",$E194*'参数配置'!$D$20)</f>
        <v/>
      </c>
      <c r="L194" s="56">
        <f>IF($E194="","",'参数配置'!$D$21)</f>
        <v/>
      </c>
      <c r="M194" s="56">
        <f>IF($E194="","",$E194*'参数配置'!$B$8)</f>
        <v/>
      </c>
      <c r="N194" s="56">
        <f>IF($E194="","",IF($E194&lt;='参数配置'!$B$7,$E194*'参数配置'!$B$6,0))</f>
        <v/>
      </c>
      <c r="O194" s="56">
        <f>IF($E194="","",$E194*$G194)</f>
        <v/>
      </c>
      <c r="P194" s="56">
        <f>IF($E194="","",$E194*'参数配置'!$B$10)</f>
        <v/>
      </c>
      <c r="Q194" s="56">
        <f>IF($E194="","",$E194*'参数配置'!$B$11)</f>
        <v/>
      </c>
      <c r="R194" s="56">
        <f>IF($E194="","",$I194+$F194+$J194+$K194+$L194+$M194+$N194+$O194+$P194+$Q194)</f>
        <v/>
      </c>
      <c r="S194" s="56">
        <f>IF($E194="","",$E194-$R194)</f>
        <v/>
      </c>
      <c r="T194" s="57">
        <f>IF(OR($E194="",$E194=0),"",$S194/$E194)</f>
        <v/>
      </c>
      <c r="U194" s="38">
        <f>IF($E194="","",$S194*'参数配置'!$B$5)</f>
        <v/>
      </c>
      <c r="V194" s="57">
        <f>IF($E194="","",1-$H194-'参数配置'!$D$20-'参数配置'!$B$8-$G194-'参数配置'!$B$10-'参数配置'!$B$11-IF($E194&lt;='参数配置'!$B$7,'参数配置'!$B$6,0))</f>
        <v/>
      </c>
      <c r="W194" s="56">
        <f>IF($E194="","",$I194+$F194+$L194)</f>
        <v/>
      </c>
      <c r="X194" s="56">
        <f>IF($E194="","",IF($V194&gt;0,$W194/$V194,""))</f>
        <v/>
      </c>
      <c r="Y194" s="56">
        <f>IF($E194="","",IF(($V194-'参数配置'!$B$9)&gt;0,$W194/($V194-'参数配置'!$B$9),""))</f>
        <v/>
      </c>
      <c r="Z194" s="37">
        <f>IF($E194="","",IF(OR($C194="禁售",$C194="需资质"),"⛔"&amp;$C194&amp;"·不应进入利润表",IF($V194&lt;=0,"❗贡献率≤0·任何价都亏损",IF($E194&lt;$X194,"⛔低于保本价·亏损",IF($Y194="","⚠️目标不可达·需降本",IF($E194&lt;$Y194,"⚠️低于红线·未达目标利润率","✅达目标利润率"))))))</f>
        <v/>
      </c>
    </row>
    <row r="195">
      <c r="A195" s="52" t="n"/>
      <c r="B195" s="46">
        <f>IFERROR(VLOOKUP($A195,'SKU主表'!$A:$M,2,0),"")</f>
        <v/>
      </c>
      <c r="C195" s="47">
        <f>IFERROR(VLOOKUP($A195,'SKU主表'!$A:$M,9,0),"")</f>
        <v/>
      </c>
      <c r="D195" s="47">
        <f>IFERROR(VLOOKUP($A195,'SKU主表'!$A:$M,5,0),"")</f>
        <v/>
      </c>
      <c r="E195" s="58" t="n"/>
      <c r="F195" s="58" t="n"/>
      <c r="G195" s="59" t="n"/>
      <c r="H195" s="59">
        <f>'参数配置'!$D$22</f>
        <v/>
      </c>
      <c r="I195" s="56">
        <f>IF($D195="","",$D195/'参数配置'!$B$5)</f>
        <v/>
      </c>
      <c r="J195" s="56">
        <f>IF($E195="","",$E195*$H195)</f>
        <v/>
      </c>
      <c r="K195" s="56">
        <f>IF($E195="","",$E195*'参数配置'!$D$20)</f>
        <v/>
      </c>
      <c r="L195" s="56">
        <f>IF($E195="","",'参数配置'!$D$21)</f>
        <v/>
      </c>
      <c r="M195" s="56">
        <f>IF($E195="","",$E195*'参数配置'!$B$8)</f>
        <v/>
      </c>
      <c r="N195" s="56">
        <f>IF($E195="","",IF($E195&lt;='参数配置'!$B$7,$E195*'参数配置'!$B$6,0))</f>
        <v/>
      </c>
      <c r="O195" s="56">
        <f>IF($E195="","",$E195*$G195)</f>
        <v/>
      </c>
      <c r="P195" s="56">
        <f>IF($E195="","",$E195*'参数配置'!$B$10)</f>
        <v/>
      </c>
      <c r="Q195" s="56">
        <f>IF($E195="","",$E195*'参数配置'!$B$11)</f>
        <v/>
      </c>
      <c r="R195" s="56">
        <f>IF($E195="","",$I195+$F195+$J195+$K195+$L195+$M195+$N195+$O195+$P195+$Q195)</f>
        <v/>
      </c>
      <c r="S195" s="56">
        <f>IF($E195="","",$E195-$R195)</f>
        <v/>
      </c>
      <c r="T195" s="57">
        <f>IF(OR($E195="",$E195=0),"",$S195/$E195)</f>
        <v/>
      </c>
      <c r="U195" s="38">
        <f>IF($E195="","",$S195*'参数配置'!$B$5)</f>
        <v/>
      </c>
      <c r="V195" s="57">
        <f>IF($E195="","",1-$H195-'参数配置'!$D$20-'参数配置'!$B$8-$G195-'参数配置'!$B$10-'参数配置'!$B$11-IF($E195&lt;='参数配置'!$B$7,'参数配置'!$B$6,0))</f>
        <v/>
      </c>
      <c r="W195" s="56">
        <f>IF($E195="","",$I195+$F195+$L195)</f>
        <v/>
      </c>
      <c r="X195" s="56">
        <f>IF($E195="","",IF($V195&gt;0,$W195/$V195,""))</f>
        <v/>
      </c>
      <c r="Y195" s="56">
        <f>IF($E195="","",IF(($V195-'参数配置'!$B$9)&gt;0,$W195/($V195-'参数配置'!$B$9),""))</f>
        <v/>
      </c>
      <c r="Z195" s="37">
        <f>IF($E195="","",IF(OR($C195="禁售",$C195="需资质"),"⛔"&amp;$C195&amp;"·不应进入利润表",IF($V195&lt;=0,"❗贡献率≤0·任何价都亏损",IF($E195&lt;$X195,"⛔低于保本价·亏损",IF($Y195="","⚠️目标不可达·需降本",IF($E195&lt;$Y195,"⚠️低于红线·未达目标利润率","✅达目标利润率"))))))</f>
        <v/>
      </c>
    </row>
    <row r="196">
      <c r="A196" s="52" t="n"/>
      <c r="B196" s="46">
        <f>IFERROR(VLOOKUP($A196,'SKU主表'!$A:$M,2,0),"")</f>
        <v/>
      </c>
      <c r="C196" s="47">
        <f>IFERROR(VLOOKUP($A196,'SKU主表'!$A:$M,9,0),"")</f>
        <v/>
      </c>
      <c r="D196" s="47">
        <f>IFERROR(VLOOKUP($A196,'SKU主表'!$A:$M,5,0),"")</f>
        <v/>
      </c>
      <c r="E196" s="58" t="n"/>
      <c r="F196" s="58" t="n"/>
      <c r="G196" s="59" t="n"/>
      <c r="H196" s="59">
        <f>'参数配置'!$D$22</f>
        <v/>
      </c>
      <c r="I196" s="56">
        <f>IF($D196="","",$D196/'参数配置'!$B$5)</f>
        <v/>
      </c>
      <c r="J196" s="56">
        <f>IF($E196="","",$E196*$H196)</f>
        <v/>
      </c>
      <c r="K196" s="56">
        <f>IF($E196="","",$E196*'参数配置'!$D$20)</f>
        <v/>
      </c>
      <c r="L196" s="56">
        <f>IF($E196="","",'参数配置'!$D$21)</f>
        <v/>
      </c>
      <c r="M196" s="56">
        <f>IF($E196="","",$E196*'参数配置'!$B$8)</f>
        <v/>
      </c>
      <c r="N196" s="56">
        <f>IF($E196="","",IF($E196&lt;='参数配置'!$B$7,$E196*'参数配置'!$B$6,0))</f>
        <v/>
      </c>
      <c r="O196" s="56">
        <f>IF($E196="","",$E196*$G196)</f>
        <v/>
      </c>
      <c r="P196" s="56">
        <f>IF($E196="","",$E196*'参数配置'!$B$10)</f>
        <v/>
      </c>
      <c r="Q196" s="56">
        <f>IF($E196="","",$E196*'参数配置'!$B$11)</f>
        <v/>
      </c>
      <c r="R196" s="56">
        <f>IF($E196="","",$I196+$F196+$J196+$K196+$L196+$M196+$N196+$O196+$P196+$Q196)</f>
        <v/>
      </c>
      <c r="S196" s="56">
        <f>IF($E196="","",$E196-$R196)</f>
        <v/>
      </c>
      <c r="T196" s="57">
        <f>IF(OR($E196="",$E196=0),"",$S196/$E196)</f>
        <v/>
      </c>
      <c r="U196" s="38">
        <f>IF($E196="","",$S196*'参数配置'!$B$5)</f>
        <v/>
      </c>
      <c r="V196" s="57">
        <f>IF($E196="","",1-$H196-'参数配置'!$D$20-'参数配置'!$B$8-$G196-'参数配置'!$B$10-'参数配置'!$B$11-IF($E196&lt;='参数配置'!$B$7,'参数配置'!$B$6,0))</f>
        <v/>
      </c>
      <c r="W196" s="56">
        <f>IF($E196="","",$I196+$F196+$L196)</f>
        <v/>
      </c>
      <c r="X196" s="56">
        <f>IF($E196="","",IF($V196&gt;0,$W196/$V196,""))</f>
        <v/>
      </c>
      <c r="Y196" s="56">
        <f>IF($E196="","",IF(($V196-'参数配置'!$B$9)&gt;0,$W196/($V196-'参数配置'!$B$9),""))</f>
        <v/>
      </c>
      <c r="Z196" s="37">
        <f>IF($E196="","",IF(OR($C196="禁售",$C196="需资质"),"⛔"&amp;$C196&amp;"·不应进入利润表",IF($V196&lt;=0,"❗贡献率≤0·任何价都亏损",IF($E196&lt;$X196,"⛔低于保本价·亏损",IF($Y196="","⚠️目标不可达·需降本",IF($E196&lt;$Y196,"⚠️低于红线·未达目标利润率","✅达目标利润率"))))))</f>
        <v/>
      </c>
    </row>
    <row r="197">
      <c r="A197" s="52" t="n"/>
      <c r="B197" s="46">
        <f>IFERROR(VLOOKUP($A197,'SKU主表'!$A:$M,2,0),"")</f>
        <v/>
      </c>
      <c r="C197" s="47">
        <f>IFERROR(VLOOKUP($A197,'SKU主表'!$A:$M,9,0),"")</f>
        <v/>
      </c>
      <c r="D197" s="47">
        <f>IFERROR(VLOOKUP($A197,'SKU主表'!$A:$M,5,0),"")</f>
        <v/>
      </c>
      <c r="E197" s="58" t="n"/>
      <c r="F197" s="58" t="n"/>
      <c r="G197" s="59" t="n"/>
      <c r="H197" s="59">
        <f>'参数配置'!$D$22</f>
        <v/>
      </c>
      <c r="I197" s="56">
        <f>IF($D197="","",$D197/'参数配置'!$B$5)</f>
        <v/>
      </c>
      <c r="J197" s="56">
        <f>IF($E197="","",$E197*$H197)</f>
        <v/>
      </c>
      <c r="K197" s="56">
        <f>IF($E197="","",$E197*'参数配置'!$D$20)</f>
        <v/>
      </c>
      <c r="L197" s="56">
        <f>IF($E197="","",'参数配置'!$D$21)</f>
        <v/>
      </c>
      <c r="M197" s="56">
        <f>IF($E197="","",$E197*'参数配置'!$B$8)</f>
        <v/>
      </c>
      <c r="N197" s="56">
        <f>IF($E197="","",IF($E197&lt;='参数配置'!$B$7,$E197*'参数配置'!$B$6,0))</f>
        <v/>
      </c>
      <c r="O197" s="56">
        <f>IF($E197="","",$E197*$G197)</f>
        <v/>
      </c>
      <c r="P197" s="56">
        <f>IF($E197="","",$E197*'参数配置'!$B$10)</f>
        <v/>
      </c>
      <c r="Q197" s="56">
        <f>IF($E197="","",$E197*'参数配置'!$B$11)</f>
        <v/>
      </c>
      <c r="R197" s="56">
        <f>IF($E197="","",$I197+$F197+$J197+$K197+$L197+$M197+$N197+$O197+$P197+$Q197)</f>
        <v/>
      </c>
      <c r="S197" s="56">
        <f>IF($E197="","",$E197-$R197)</f>
        <v/>
      </c>
      <c r="T197" s="57">
        <f>IF(OR($E197="",$E197=0),"",$S197/$E197)</f>
        <v/>
      </c>
      <c r="U197" s="38">
        <f>IF($E197="","",$S197*'参数配置'!$B$5)</f>
        <v/>
      </c>
      <c r="V197" s="57">
        <f>IF($E197="","",1-$H197-'参数配置'!$D$20-'参数配置'!$B$8-$G197-'参数配置'!$B$10-'参数配置'!$B$11-IF($E197&lt;='参数配置'!$B$7,'参数配置'!$B$6,0))</f>
        <v/>
      </c>
      <c r="W197" s="56">
        <f>IF($E197="","",$I197+$F197+$L197)</f>
        <v/>
      </c>
      <c r="X197" s="56">
        <f>IF($E197="","",IF($V197&gt;0,$W197/$V197,""))</f>
        <v/>
      </c>
      <c r="Y197" s="56">
        <f>IF($E197="","",IF(($V197-'参数配置'!$B$9)&gt;0,$W197/($V197-'参数配置'!$B$9),""))</f>
        <v/>
      </c>
      <c r="Z197" s="37">
        <f>IF($E197="","",IF(OR($C197="禁售",$C197="需资质"),"⛔"&amp;$C197&amp;"·不应进入利润表",IF($V197&lt;=0,"❗贡献率≤0·任何价都亏损",IF($E197&lt;$X197,"⛔低于保本价·亏损",IF($Y197="","⚠️目标不可达·需降本",IF($E197&lt;$Y197,"⚠️低于红线·未达目标利润率","✅达目标利润率"))))))</f>
        <v/>
      </c>
    </row>
    <row r="198">
      <c r="A198" s="52" t="n"/>
      <c r="B198" s="46">
        <f>IFERROR(VLOOKUP($A198,'SKU主表'!$A:$M,2,0),"")</f>
        <v/>
      </c>
      <c r="C198" s="47">
        <f>IFERROR(VLOOKUP($A198,'SKU主表'!$A:$M,9,0),"")</f>
        <v/>
      </c>
      <c r="D198" s="47">
        <f>IFERROR(VLOOKUP($A198,'SKU主表'!$A:$M,5,0),"")</f>
        <v/>
      </c>
      <c r="E198" s="58" t="n"/>
      <c r="F198" s="58" t="n"/>
      <c r="G198" s="59" t="n"/>
      <c r="H198" s="59">
        <f>'参数配置'!$D$22</f>
        <v/>
      </c>
      <c r="I198" s="56">
        <f>IF($D198="","",$D198/'参数配置'!$B$5)</f>
        <v/>
      </c>
      <c r="J198" s="56">
        <f>IF($E198="","",$E198*$H198)</f>
        <v/>
      </c>
      <c r="K198" s="56">
        <f>IF($E198="","",$E198*'参数配置'!$D$20)</f>
        <v/>
      </c>
      <c r="L198" s="56">
        <f>IF($E198="","",'参数配置'!$D$21)</f>
        <v/>
      </c>
      <c r="M198" s="56">
        <f>IF($E198="","",$E198*'参数配置'!$B$8)</f>
        <v/>
      </c>
      <c r="N198" s="56">
        <f>IF($E198="","",IF($E198&lt;='参数配置'!$B$7,$E198*'参数配置'!$B$6,0))</f>
        <v/>
      </c>
      <c r="O198" s="56">
        <f>IF($E198="","",$E198*$G198)</f>
        <v/>
      </c>
      <c r="P198" s="56">
        <f>IF($E198="","",$E198*'参数配置'!$B$10)</f>
        <v/>
      </c>
      <c r="Q198" s="56">
        <f>IF($E198="","",$E198*'参数配置'!$B$11)</f>
        <v/>
      </c>
      <c r="R198" s="56">
        <f>IF($E198="","",$I198+$F198+$J198+$K198+$L198+$M198+$N198+$O198+$P198+$Q198)</f>
        <v/>
      </c>
      <c r="S198" s="56">
        <f>IF($E198="","",$E198-$R198)</f>
        <v/>
      </c>
      <c r="T198" s="57">
        <f>IF(OR($E198="",$E198=0),"",$S198/$E198)</f>
        <v/>
      </c>
      <c r="U198" s="38">
        <f>IF($E198="","",$S198*'参数配置'!$B$5)</f>
        <v/>
      </c>
      <c r="V198" s="57">
        <f>IF($E198="","",1-$H198-'参数配置'!$D$20-'参数配置'!$B$8-$G198-'参数配置'!$B$10-'参数配置'!$B$11-IF($E198&lt;='参数配置'!$B$7,'参数配置'!$B$6,0))</f>
        <v/>
      </c>
      <c r="W198" s="56">
        <f>IF($E198="","",$I198+$F198+$L198)</f>
        <v/>
      </c>
      <c r="X198" s="56">
        <f>IF($E198="","",IF($V198&gt;0,$W198/$V198,""))</f>
        <v/>
      </c>
      <c r="Y198" s="56">
        <f>IF($E198="","",IF(($V198-'参数配置'!$B$9)&gt;0,$W198/($V198-'参数配置'!$B$9),""))</f>
        <v/>
      </c>
      <c r="Z198" s="37">
        <f>IF($E198="","",IF(OR($C198="禁售",$C198="需资质"),"⛔"&amp;$C198&amp;"·不应进入利润表",IF($V198&lt;=0,"❗贡献率≤0·任何价都亏损",IF($E198&lt;$X198,"⛔低于保本价·亏损",IF($Y198="","⚠️目标不可达·需降本",IF($E198&lt;$Y198,"⚠️低于红线·未达目标利润率","✅达目标利润率"))))))</f>
        <v/>
      </c>
    </row>
    <row r="199">
      <c r="A199" s="52" t="n"/>
      <c r="B199" s="46">
        <f>IFERROR(VLOOKUP($A199,'SKU主表'!$A:$M,2,0),"")</f>
        <v/>
      </c>
      <c r="C199" s="47">
        <f>IFERROR(VLOOKUP($A199,'SKU主表'!$A:$M,9,0),"")</f>
        <v/>
      </c>
      <c r="D199" s="47">
        <f>IFERROR(VLOOKUP($A199,'SKU主表'!$A:$M,5,0),"")</f>
        <v/>
      </c>
      <c r="E199" s="58" t="n"/>
      <c r="F199" s="58" t="n"/>
      <c r="G199" s="59" t="n"/>
      <c r="H199" s="59">
        <f>'参数配置'!$D$22</f>
        <v/>
      </c>
      <c r="I199" s="56">
        <f>IF($D199="","",$D199/'参数配置'!$B$5)</f>
        <v/>
      </c>
      <c r="J199" s="56">
        <f>IF($E199="","",$E199*$H199)</f>
        <v/>
      </c>
      <c r="K199" s="56">
        <f>IF($E199="","",$E199*'参数配置'!$D$20)</f>
        <v/>
      </c>
      <c r="L199" s="56">
        <f>IF($E199="","",'参数配置'!$D$21)</f>
        <v/>
      </c>
      <c r="M199" s="56">
        <f>IF($E199="","",$E199*'参数配置'!$B$8)</f>
        <v/>
      </c>
      <c r="N199" s="56">
        <f>IF($E199="","",IF($E199&lt;='参数配置'!$B$7,$E199*'参数配置'!$B$6,0))</f>
        <v/>
      </c>
      <c r="O199" s="56">
        <f>IF($E199="","",$E199*$G199)</f>
        <v/>
      </c>
      <c r="P199" s="56">
        <f>IF($E199="","",$E199*'参数配置'!$B$10)</f>
        <v/>
      </c>
      <c r="Q199" s="56">
        <f>IF($E199="","",$E199*'参数配置'!$B$11)</f>
        <v/>
      </c>
      <c r="R199" s="56">
        <f>IF($E199="","",$I199+$F199+$J199+$K199+$L199+$M199+$N199+$O199+$P199+$Q199)</f>
        <v/>
      </c>
      <c r="S199" s="56">
        <f>IF($E199="","",$E199-$R199)</f>
        <v/>
      </c>
      <c r="T199" s="57">
        <f>IF(OR($E199="",$E199=0),"",$S199/$E199)</f>
        <v/>
      </c>
      <c r="U199" s="38">
        <f>IF($E199="","",$S199*'参数配置'!$B$5)</f>
        <v/>
      </c>
      <c r="V199" s="57">
        <f>IF($E199="","",1-$H199-'参数配置'!$D$20-'参数配置'!$B$8-$G199-'参数配置'!$B$10-'参数配置'!$B$11-IF($E199&lt;='参数配置'!$B$7,'参数配置'!$B$6,0))</f>
        <v/>
      </c>
      <c r="W199" s="56">
        <f>IF($E199="","",$I199+$F199+$L199)</f>
        <v/>
      </c>
      <c r="X199" s="56">
        <f>IF($E199="","",IF($V199&gt;0,$W199/$V199,""))</f>
        <v/>
      </c>
      <c r="Y199" s="56">
        <f>IF($E199="","",IF(($V199-'参数配置'!$B$9)&gt;0,$W199/($V199-'参数配置'!$B$9),""))</f>
        <v/>
      </c>
      <c r="Z199" s="37">
        <f>IF($E199="","",IF(OR($C199="禁售",$C199="需资质"),"⛔"&amp;$C199&amp;"·不应进入利润表",IF($V199&lt;=0,"❗贡献率≤0·任何价都亏损",IF($E199&lt;$X199,"⛔低于保本价·亏损",IF($Y199="","⚠️目标不可达·需降本",IF($E199&lt;$Y199,"⚠️低于红线·未达目标利润率","✅达目标利润率"))))))</f>
        <v/>
      </c>
    </row>
    <row r="200">
      <c r="A200" s="52" t="n"/>
      <c r="B200" s="46">
        <f>IFERROR(VLOOKUP($A200,'SKU主表'!$A:$M,2,0),"")</f>
        <v/>
      </c>
      <c r="C200" s="47">
        <f>IFERROR(VLOOKUP($A200,'SKU主表'!$A:$M,9,0),"")</f>
        <v/>
      </c>
      <c r="D200" s="47">
        <f>IFERROR(VLOOKUP($A200,'SKU主表'!$A:$M,5,0),"")</f>
        <v/>
      </c>
      <c r="E200" s="58" t="n"/>
      <c r="F200" s="58" t="n"/>
      <c r="G200" s="59" t="n"/>
      <c r="H200" s="59">
        <f>'参数配置'!$D$22</f>
        <v/>
      </c>
      <c r="I200" s="56">
        <f>IF($D200="","",$D200/'参数配置'!$B$5)</f>
        <v/>
      </c>
      <c r="J200" s="56">
        <f>IF($E200="","",$E200*$H200)</f>
        <v/>
      </c>
      <c r="K200" s="56">
        <f>IF($E200="","",$E200*'参数配置'!$D$20)</f>
        <v/>
      </c>
      <c r="L200" s="56">
        <f>IF($E200="","",'参数配置'!$D$21)</f>
        <v/>
      </c>
      <c r="M200" s="56">
        <f>IF($E200="","",$E200*'参数配置'!$B$8)</f>
        <v/>
      </c>
      <c r="N200" s="56">
        <f>IF($E200="","",IF($E200&lt;='参数配置'!$B$7,$E200*'参数配置'!$B$6,0))</f>
        <v/>
      </c>
      <c r="O200" s="56">
        <f>IF($E200="","",$E200*$G200)</f>
        <v/>
      </c>
      <c r="P200" s="56">
        <f>IF($E200="","",$E200*'参数配置'!$B$10)</f>
        <v/>
      </c>
      <c r="Q200" s="56">
        <f>IF($E200="","",$E200*'参数配置'!$B$11)</f>
        <v/>
      </c>
      <c r="R200" s="56">
        <f>IF($E200="","",$I200+$F200+$J200+$K200+$L200+$M200+$N200+$O200+$P200+$Q200)</f>
        <v/>
      </c>
      <c r="S200" s="56">
        <f>IF($E200="","",$E200-$R200)</f>
        <v/>
      </c>
      <c r="T200" s="57">
        <f>IF(OR($E200="",$E200=0),"",$S200/$E200)</f>
        <v/>
      </c>
      <c r="U200" s="38">
        <f>IF($E200="","",$S200*'参数配置'!$B$5)</f>
        <v/>
      </c>
      <c r="V200" s="57">
        <f>IF($E200="","",1-$H200-'参数配置'!$D$20-'参数配置'!$B$8-$G200-'参数配置'!$B$10-'参数配置'!$B$11-IF($E200&lt;='参数配置'!$B$7,'参数配置'!$B$6,0))</f>
        <v/>
      </c>
      <c r="W200" s="56">
        <f>IF($E200="","",$I200+$F200+$L200)</f>
        <v/>
      </c>
      <c r="X200" s="56">
        <f>IF($E200="","",IF($V200&gt;0,$W200/$V200,""))</f>
        <v/>
      </c>
      <c r="Y200" s="56">
        <f>IF($E200="","",IF(($V200-'参数配置'!$B$9)&gt;0,$W200/($V200-'参数配置'!$B$9),""))</f>
        <v/>
      </c>
      <c r="Z200" s="37">
        <f>IF($E200="","",IF(OR($C200="禁售",$C200="需资质"),"⛔"&amp;$C200&amp;"·不应进入利润表",IF($V200&lt;=0,"❗贡献率≤0·任何价都亏损",IF($E200&lt;$X200,"⛔低于保本价·亏损",IF($Y200="","⚠️目标不可达·需降本",IF($E200&lt;$Y200,"⚠️低于红线·未达目标利润率","✅达目标利润率"))))))</f>
        <v/>
      </c>
    </row>
    <row r="201">
      <c r="A201" s="52" t="n"/>
      <c r="B201" s="46">
        <f>IFERROR(VLOOKUP($A201,'SKU主表'!$A:$M,2,0),"")</f>
        <v/>
      </c>
      <c r="C201" s="47">
        <f>IFERROR(VLOOKUP($A201,'SKU主表'!$A:$M,9,0),"")</f>
        <v/>
      </c>
      <c r="D201" s="47">
        <f>IFERROR(VLOOKUP($A201,'SKU主表'!$A:$M,5,0),"")</f>
        <v/>
      </c>
      <c r="E201" s="58" t="n"/>
      <c r="F201" s="58" t="n"/>
      <c r="G201" s="59" t="n"/>
      <c r="H201" s="59">
        <f>'参数配置'!$D$22</f>
        <v/>
      </c>
      <c r="I201" s="56">
        <f>IF($D201="","",$D201/'参数配置'!$B$5)</f>
        <v/>
      </c>
      <c r="J201" s="56">
        <f>IF($E201="","",$E201*$H201)</f>
        <v/>
      </c>
      <c r="K201" s="56">
        <f>IF($E201="","",$E201*'参数配置'!$D$20)</f>
        <v/>
      </c>
      <c r="L201" s="56">
        <f>IF($E201="","",'参数配置'!$D$21)</f>
        <v/>
      </c>
      <c r="M201" s="56">
        <f>IF($E201="","",$E201*'参数配置'!$B$8)</f>
        <v/>
      </c>
      <c r="N201" s="56">
        <f>IF($E201="","",IF($E201&lt;='参数配置'!$B$7,$E201*'参数配置'!$B$6,0))</f>
        <v/>
      </c>
      <c r="O201" s="56">
        <f>IF($E201="","",$E201*$G201)</f>
        <v/>
      </c>
      <c r="P201" s="56">
        <f>IF($E201="","",$E201*'参数配置'!$B$10)</f>
        <v/>
      </c>
      <c r="Q201" s="56">
        <f>IF($E201="","",$E201*'参数配置'!$B$11)</f>
        <v/>
      </c>
      <c r="R201" s="56">
        <f>IF($E201="","",$I201+$F201+$J201+$K201+$L201+$M201+$N201+$O201+$P201+$Q201)</f>
        <v/>
      </c>
      <c r="S201" s="56">
        <f>IF($E201="","",$E201-$R201)</f>
        <v/>
      </c>
      <c r="T201" s="57">
        <f>IF(OR($E201="",$E201=0),"",$S201/$E201)</f>
        <v/>
      </c>
      <c r="U201" s="38">
        <f>IF($E201="","",$S201*'参数配置'!$B$5)</f>
        <v/>
      </c>
      <c r="V201" s="57">
        <f>IF($E201="","",1-$H201-'参数配置'!$D$20-'参数配置'!$B$8-$G201-'参数配置'!$B$10-'参数配置'!$B$11-IF($E201&lt;='参数配置'!$B$7,'参数配置'!$B$6,0))</f>
        <v/>
      </c>
      <c r="W201" s="56">
        <f>IF($E201="","",$I201+$F201+$L201)</f>
        <v/>
      </c>
      <c r="X201" s="56">
        <f>IF($E201="","",IF($V201&gt;0,$W201/$V201,""))</f>
        <v/>
      </c>
      <c r="Y201" s="56">
        <f>IF($E201="","",IF(($V201-'参数配置'!$B$9)&gt;0,$W201/($V201-'参数配置'!$B$9),""))</f>
        <v/>
      </c>
      <c r="Z201" s="37">
        <f>IF($E201="","",IF(OR($C201="禁售",$C201="需资质"),"⛔"&amp;$C201&amp;"·不应进入利润表",IF($V201&lt;=0,"❗贡献率≤0·任何价都亏损",IF($E201&lt;$X201,"⛔低于保本价·亏损",IF($Y201="","⚠️目标不可达·需降本",IF($E201&lt;$Y201,"⚠️低于红线·未达目标利润率","✅达目标利润率"))))))</f>
        <v/>
      </c>
    </row>
    <row r="202">
      <c r="A202" s="52" t="n"/>
      <c r="B202" s="46">
        <f>IFERROR(VLOOKUP($A202,'SKU主表'!$A:$M,2,0),"")</f>
        <v/>
      </c>
      <c r="C202" s="47">
        <f>IFERROR(VLOOKUP($A202,'SKU主表'!$A:$M,9,0),"")</f>
        <v/>
      </c>
      <c r="D202" s="47">
        <f>IFERROR(VLOOKUP($A202,'SKU主表'!$A:$M,5,0),"")</f>
        <v/>
      </c>
      <c r="E202" s="58" t="n"/>
      <c r="F202" s="58" t="n"/>
      <c r="G202" s="59" t="n"/>
      <c r="H202" s="59">
        <f>'参数配置'!$D$22</f>
        <v/>
      </c>
      <c r="I202" s="56">
        <f>IF($D202="","",$D202/'参数配置'!$B$5)</f>
        <v/>
      </c>
      <c r="J202" s="56">
        <f>IF($E202="","",$E202*$H202)</f>
        <v/>
      </c>
      <c r="K202" s="56">
        <f>IF($E202="","",$E202*'参数配置'!$D$20)</f>
        <v/>
      </c>
      <c r="L202" s="56">
        <f>IF($E202="","",'参数配置'!$D$21)</f>
        <v/>
      </c>
      <c r="M202" s="56">
        <f>IF($E202="","",$E202*'参数配置'!$B$8)</f>
        <v/>
      </c>
      <c r="N202" s="56">
        <f>IF($E202="","",IF($E202&lt;='参数配置'!$B$7,$E202*'参数配置'!$B$6,0))</f>
        <v/>
      </c>
      <c r="O202" s="56">
        <f>IF($E202="","",$E202*$G202)</f>
        <v/>
      </c>
      <c r="P202" s="56">
        <f>IF($E202="","",$E202*'参数配置'!$B$10)</f>
        <v/>
      </c>
      <c r="Q202" s="56">
        <f>IF($E202="","",$E202*'参数配置'!$B$11)</f>
        <v/>
      </c>
      <c r="R202" s="56">
        <f>IF($E202="","",$I202+$F202+$J202+$K202+$L202+$M202+$N202+$O202+$P202+$Q202)</f>
        <v/>
      </c>
      <c r="S202" s="56">
        <f>IF($E202="","",$E202-$R202)</f>
        <v/>
      </c>
      <c r="T202" s="57">
        <f>IF(OR($E202="",$E202=0),"",$S202/$E202)</f>
        <v/>
      </c>
      <c r="U202" s="38">
        <f>IF($E202="","",$S202*'参数配置'!$B$5)</f>
        <v/>
      </c>
      <c r="V202" s="57">
        <f>IF($E202="","",1-$H202-'参数配置'!$D$20-'参数配置'!$B$8-$G202-'参数配置'!$B$10-'参数配置'!$B$11-IF($E202&lt;='参数配置'!$B$7,'参数配置'!$B$6,0))</f>
        <v/>
      </c>
      <c r="W202" s="56">
        <f>IF($E202="","",$I202+$F202+$L202)</f>
        <v/>
      </c>
      <c r="X202" s="56">
        <f>IF($E202="","",IF($V202&gt;0,$W202/$V202,""))</f>
        <v/>
      </c>
      <c r="Y202" s="56">
        <f>IF($E202="","",IF(($V202-'参数配置'!$B$9)&gt;0,$W202/($V202-'参数配置'!$B$9),""))</f>
        <v/>
      </c>
      <c r="Z202" s="37">
        <f>IF($E202="","",IF(OR($C202="禁售",$C202="需资质"),"⛔"&amp;$C202&amp;"·不应进入利润表",IF($V202&lt;=0,"❗贡献率≤0·任何价都亏损",IF($E202&lt;$X202,"⛔低于保本价·亏损",IF($Y202="","⚠️目标不可达·需降本",IF($E202&lt;$Y202,"⚠️低于红线·未达目标利润率","✅达目标利润率"))))))</f>
        <v/>
      </c>
    </row>
    <row r="203">
      <c r="A203" s="52" t="n"/>
      <c r="B203" s="46">
        <f>IFERROR(VLOOKUP($A203,'SKU主表'!$A:$M,2,0),"")</f>
        <v/>
      </c>
      <c r="C203" s="47">
        <f>IFERROR(VLOOKUP($A203,'SKU主表'!$A:$M,9,0),"")</f>
        <v/>
      </c>
      <c r="D203" s="47">
        <f>IFERROR(VLOOKUP($A203,'SKU主表'!$A:$M,5,0),"")</f>
        <v/>
      </c>
      <c r="E203" s="58" t="n"/>
      <c r="F203" s="58" t="n"/>
      <c r="G203" s="59" t="n"/>
      <c r="H203" s="59">
        <f>'参数配置'!$D$22</f>
        <v/>
      </c>
      <c r="I203" s="56">
        <f>IF($D203="","",$D203/'参数配置'!$B$5)</f>
        <v/>
      </c>
      <c r="J203" s="56">
        <f>IF($E203="","",$E203*$H203)</f>
        <v/>
      </c>
      <c r="K203" s="56">
        <f>IF($E203="","",$E203*'参数配置'!$D$20)</f>
        <v/>
      </c>
      <c r="L203" s="56">
        <f>IF($E203="","",'参数配置'!$D$21)</f>
        <v/>
      </c>
      <c r="M203" s="56">
        <f>IF($E203="","",$E203*'参数配置'!$B$8)</f>
        <v/>
      </c>
      <c r="N203" s="56">
        <f>IF($E203="","",IF($E203&lt;='参数配置'!$B$7,$E203*'参数配置'!$B$6,0))</f>
        <v/>
      </c>
      <c r="O203" s="56">
        <f>IF($E203="","",$E203*$G203)</f>
        <v/>
      </c>
      <c r="P203" s="56">
        <f>IF($E203="","",$E203*'参数配置'!$B$10)</f>
        <v/>
      </c>
      <c r="Q203" s="56">
        <f>IF($E203="","",$E203*'参数配置'!$B$11)</f>
        <v/>
      </c>
      <c r="R203" s="56">
        <f>IF($E203="","",$I203+$F203+$J203+$K203+$L203+$M203+$N203+$O203+$P203+$Q203)</f>
        <v/>
      </c>
      <c r="S203" s="56">
        <f>IF($E203="","",$E203-$R203)</f>
        <v/>
      </c>
      <c r="T203" s="57">
        <f>IF(OR($E203="",$E203=0),"",$S203/$E203)</f>
        <v/>
      </c>
      <c r="U203" s="38">
        <f>IF($E203="","",$S203*'参数配置'!$B$5)</f>
        <v/>
      </c>
      <c r="V203" s="57">
        <f>IF($E203="","",1-$H203-'参数配置'!$D$20-'参数配置'!$B$8-$G203-'参数配置'!$B$10-'参数配置'!$B$11-IF($E203&lt;='参数配置'!$B$7,'参数配置'!$B$6,0))</f>
        <v/>
      </c>
      <c r="W203" s="56">
        <f>IF($E203="","",$I203+$F203+$L203)</f>
        <v/>
      </c>
      <c r="X203" s="56">
        <f>IF($E203="","",IF($V203&gt;0,$W203/$V203,""))</f>
        <v/>
      </c>
      <c r="Y203" s="56">
        <f>IF($E203="","",IF(($V203-'参数配置'!$B$9)&gt;0,$W203/($V203-'参数配置'!$B$9),""))</f>
        <v/>
      </c>
      <c r="Z203" s="37">
        <f>IF($E203="","",IF(OR($C203="禁售",$C203="需资质"),"⛔"&amp;$C203&amp;"·不应进入利润表",IF($V203&lt;=0,"❗贡献率≤0·任何价都亏损",IF($E203&lt;$X203,"⛔低于保本价·亏损",IF($Y203="","⚠️目标不可达·需降本",IF($E203&lt;$Y203,"⚠️低于红线·未达目标利润率","✅达目标利润率")))))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autoFilter ref="A3:Z203"/>
  <mergeCells count="2">
    <mergeCell ref="A1:Z1"/>
    <mergeCell ref="A2:Z2"/>
  </mergeCells>
  <conditionalFormatting sqref="E4:E203">
    <cfRule type="expression" priority="1" dxfId="0" stopIfTrue="1">
      <formula>AND($E4&lt;&gt;"",ISNUMBER($X4),$E4&lt;$X4)</formula>
    </cfRule>
    <cfRule type="expression" priority="2" dxfId="5" stopIfTrue="1">
      <formula>AND($E4&lt;&gt;"",ISNUMBER($Y4),$E4&gt;=$X4,$E4&lt;$Y4)</formula>
    </cfRule>
  </conditionalFormatting>
  <conditionalFormatting sqref="T4:T203">
    <cfRule type="cellIs" priority="3" operator="lessThan" dxfId="3" stopIfTrue="1">
      <formula>0</formula>
    </cfRule>
  </conditionalFormatting>
  <conditionalFormatting sqref="S4:S203">
    <cfRule type="cellIs" priority="4" operator="lessThan" dxfId="3" stopIfTrue="1">
      <formula>0</formula>
    </cfRule>
  </conditionalFormatting>
  <conditionalFormatting sqref="Z4:Z203">
    <cfRule type="expression" priority="5" dxfId="3" stopIfTrue="1">
      <formula>OR(ISNUMBER(SEARCH("⛔",$Z4)),ISNUMBER(SEARCH("❗",$Z4)))</formula>
    </cfRule>
    <cfRule type="expression" priority="6" dxfId="6" stopIfTrue="1">
      <formula>ISNUMBER(SEARCH("⚠",$Z4))</formula>
    </cfRule>
    <cfRule type="expression" priority="7" dxfId="4" stopIfTrue="1">
      <formula>ISNUMBER(SEARCH("✅",$Z4))</formula>
    </cfRule>
  </conditionalFormatting>
  <dataValidations count="3">
    <dataValidation sqref="A4:A203" showDropDown="0" showInputMessage="0" showErrorMessage="0" allowBlank="1" errorTitle="编号" error="请从 SKU主表 已有编号中选择" type="list">
      <formula1>编号清单</formula1>
    </dataValidation>
    <dataValidation sqref="E4:F203" showDropDown="0" showInputMessage="0" showErrorMessage="0" allowBlank="1" errorTitle="非负校验" error="请输入 ≥0 的数字" type="decimal" operator="greaterThanOrEqual">
      <formula1>0</formula1>
    </dataValidation>
    <dataValidation sqref="G4:G203" showDropDown="0" showInputMessage="0" showErrorMessage="0" allowBlank="1" errorTitle="让利" error="让利%在 0–100% 之间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9" customWidth="1" min="11" max="11"/>
    <col width="10" customWidth="1" min="12" max="12"/>
    <col width="10" customWidth="1" min="13" max="13"/>
    <col width="13" customWidth="1" min="14" max="14"/>
    <col width="40" customWidth="1" min="15" max="15"/>
    <col width="24" customWidth="1" min="16" max="16"/>
  </cols>
  <sheetData>
    <row r="1" ht="26" customHeight="1">
      <c r="A1" s="1" t="inlineStr">
        <is>
          <t>商品四象限分层 · 漏斗诊断 + 自动建议（200 行）</t>
        </is>
      </c>
    </row>
    <row r="2" ht="34" customHeight="1">
      <c r="A2" s="2" t="inlineStr">
        <is>
          <t>上架后回填 曝光/点击/加购/成交/退款（蓝色，非负校验）。三段漏斗→流量轴(曝光)×转化轴(成交率)对『参数配置』阈值→自动判象限+建议。编号从下拉选。</t>
        </is>
      </c>
    </row>
    <row r="3" ht="40" customHeight="1">
      <c r="A3" s="26" t="inlineStr">
        <is>
          <t>编号</t>
        </is>
      </c>
      <c r="B3" s="26" t="inlineStr">
        <is>
          <t>品名</t>
        </is>
      </c>
      <c r="C3" s="26" t="inlineStr">
        <is>
          <t>曝光</t>
        </is>
      </c>
      <c r="D3" s="26" t="inlineStr">
        <is>
          <t>点击</t>
        </is>
      </c>
      <c r="E3" s="26" t="inlineStr">
        <is>
          <t>加购</t>
        </is>
      </c>
      <c r="F3" s="26" t="inlineStr">
        <is>
          <t>成交</t>
        </is>
      </c>
      <c r="G3" s="26" t="inlineStr">
        <is>
          <t>退款</t>
        </is>
      </c>
      <c r="H3" s="26" t="inlineStr">
        <is>
          <t>点击率</t>
        </is>
      </c>
      <c r="I3" s="26" t="inlineStr">
        <is>
          <t>加购率</t>
        </is>
      </c>
      <c r="J3" s="26" t="inlineStr">
        <is>
          <t>成交率(成交/加购)</t>
        </is>
      </c>
      <c r="K3" s="26" t="inlineStr">
        <is>
          <t>退款率</t>
        </is>
      </c>
      <c r="L3" s="26" t="inlineStr">
        <is>
          <t>流量分层</t>
        </is>
      </c>
      <c r="M3" s="26" t="inlineStr">
        <is>
          <t>转化分层</t>
        </is>
      </c>
      <c r="N3" s="26" t="inlineStr">
        <is>
          <t>象限</t>
        </is>
      </c>
      <c r="O3" s="26" t="inlineStr">
        <is>
          <t>建议动作</t>
        </is>
      </c>
      <c r="P3" s="26" t="inlineStr">
        <is>
          <t>退款预警</t>
        </is>
      </c>
    </row>
    <row r="4">
      <c r="A4" s="45" t="inlineStr">
        <is>
          <t>TKMY-001</t>
        </is>
      </c>
      <c r="B4" s="46">
        <f>IFERROR(VLOOKUP($A4,'SKU主表'!$A:$M,2,0),"")</f>
        <v/>
      </c>
      <c r="C4" s="60" t="n">
        <v>5000</v>
      </c>
      <c r="D4" s="60" t="n">
        <v>400</v>
      </c>
      <c r="E4" s="60" t="n">
        <v>120</v>
      </c>
      <c r="F4" s="60" t="n">
        <v>36</v>
      </c>
      <c r="G4" s="60" t="n">
        <v>2</v>
      </c>
      <c r="H4" s="57">
        <f>IFERROR($D4/$C4,"")</f>
        <v/>
      </c>
      <c r="I4" s="57">
        <f>IFERROR($E4/$D4,"")</f>
        <v/>
      </c>
      <c r="J4" s="57">
        <f>IFERROR($F4/$E4,"")</f>
        <v/>
      </c>
      <c r="K4" s="57">
        <f>IFERROR($G4/$F4,"")</f>
        <v/>
      </c>
      <c r="L4" s="40">
        <f>IF($C4="","",IF($C4&gt;='参数配置'!$B$14,"高流量","低流量"))</f>
        <v/>
      </c>
      <c r="M4" s="40">
        <f>IF($J4="","",IF($J4&gt;='参数配置'!$B$15,"高转化","低转化"))</f>
        <v/>
      </c>
      <c r="N4" s="48">
        <f>IF(OR($L4="",$M4=""),"",$L4&amp;$M4)</f>
        <v/>
      </c>
      <c r="O4" s="6">
        <f>IF($N4="","",IF($N4="高流量高转化","主推：加库存/上活动/扩达人/试投流",IF($N4="高流量低转化","查转化：价格/运费/优惠券/主图/详情/评价/客服",IF($N4="低流量高转化","加曝光：达人/短视频/直播/商城活动+秒杀",IF($N4="低流量低转化","下架或改图改标题重测/放弃","")))))</f>
        <v/>
      </c>
      <c r="P4" s="6">
        <f>IF($K4="","",IF($K4&gt;'参数配置'!$B$16,"⚠️退款率偏高·查质量/尺码/物流",""))</f>
        <v/>
      </c>
    </row>
    <row r="5">
      <c r="A5" s="45" t="inlineStr">
        <is>
          <t>TKMY-002</t>
        </is>
      </c>
      <c r="B5" s="46">
        <f>IFERROR(VLOOKUP($A5,'SKU主表'!$A:$M,2,0),"")</f>
        <v/>
      </c>
      <c r="C5" s="60" t="n">
        <v>600</v>
      </c>
      <c r="D5" s="60" t="n">
        <v>60</v>
      </c>
      <c r="E5" s="60" t="n">
        <v>12</v>
      </c>
      <c r="F5" s="60" t="n">
        <v>4</v>
      </c>
      <c r="G5" s="60" t="n">
        <v>1</v>
      </c>
      <c r="H5" s="57">
        <f>IFERROR($D5/$C5,"")</f>
        <v/>
      </c>
      <c r="I5" s="57">
        <f>IFERROR($E5/$D5,"")</f>
        <v/>
      </c>
      <c r="J5" s="57">
        <f>IFERROR($F5/$E5,"")</f>
        <v/>
      </c>
      <c r="K5" s="57">
        <f>IFERROR($G5/$F5,"")</f>
        <v/>
      </c>
      <c r="L5" s="40">
        <f>IF($C5="","",IF($C5&gt;='参数配置'!$B$14,"高流量","低流量"))</f>
        <v/>
      </c>
      <c r="M5" s="40">
        <f>IF($J5="","",IF($J5&gt;='参数配置'!$B$15,"高转化","低转化"))</f>
        <v/>
      </c>
      <c r="N5" s="48">
        <f>IF(OR($L5="",$M5=""),"",$L5&amp;$M5)</f>
        <v/>
      </c>
      <c r="O5" s="6">
        <f>IF($N5="","",IF($N5="高流量高转化","主推：加库存/上活动/扩达人/试投流",IF($N5="高流量低转化","查转化：价格/运费/优惠券/主图/详情/评价/客服",IF($N5="低流量高转化","加曝光：达人/短视频/直播/商城活动+秒杀",IF($N5="低流量低转化","下架或改图改标题重测/放弃","")))))</f>
        <v/>
      </c>
      <c r="P5" s="6">
        <f>IF($K5="","",IF($K5&gt;'参数配置'!$B$16,"⚠️退款率偏高·查质量/尺码/物流",""))</f>
        <v/>
      </c>
    </row>
    <row r="6">
      <c r="A6" s="45" t="inlineStr">
        <is>
          <t>TKMY-001</t>
        </is>
      </c>
      <c r="B6" s="46">
        <f>IFERROR(VLOOKUP($A6,'SKU主表'!$A:$M,2,0),"")</f>
        <v/>
      </c>
      <c r="C6" s="60" t="n">
        <v>9000</v>
      </c>
      <c r="D6" s="60" t="n">
        <v>300</v>
      </c>
      <c r="E6" s="60" t="n">
        <v>40</v>
      </c>
      <c r="F6" s="60" t="n">
        <v>1</v>
      </c>
      <c r="G6" s="60" t="n">
        <v>0</v>
      </c>
      <c r="H6" s="57">
        <f>IFERROR($D6/$C6,"")</f>
        <v/>
      </c>
      <c r="I6" s="57">
        <f>IFERROR($E6/$D6,"")</f>
        <v/>
      </c>
      <c r="J6" s="57">
        <f>IFERROR($F6/$E6,"")</f>
        <v/>
      </c>
      <c r="K6" s="57">
        <f>IFERROR($G6/$F6,"")</f>
        <v/>
      </c>
      <c r="L6" s="40">
        <f>IF($C6="","",IF($C6&gt;='参数配置'!$B$14,"高流量","低流量"))</f>
        <v/>
      </c>
      <c r="M6" s="40">
        <f>IF($J6="","",IF($J6&gt;='参数配置'!$B$15,"高转化","低转化"))</f>
        <v/>
      </c>
      <c r="N6" s="48">
        <f>IF(OR($L6="",$M6=""),"",$L6&amp;$M6)</f>
        <v/>
      </c>
      <c r="O6" s="6">
        <f>IF($N6="","",IF($N6="高流量高转化","主推：加库存/上活动/扩达人/试投流",IF($N6="高流量低转化","查转化：价格/运费/优惠券/主图/详情/评价/客服",IF($N6="低流量高转化","加曝光：达人/短视频/直播/商城活动+秒杀",IF($N6="低流量低转化","下架或改图改标题重测/放弃","")))))</f>
        <v/>
      </c>
      <c r="P6" s="6">
        <f>IF($K6="","",IF($K6&gt;'参数配置'!$B$16,"⚠️退款率偏高·查质量/尺码/物流",""))</f>
        <v/>
      </c>
    </row>
    <row r="7">
      <c r="A7" s="45" t="inlineStr">
        <is>
          <t>TKMY-002</t>
        </is>
      </c>
      <c r="B7" s="46">
        <f>IFERROR(VLOOKUP($A7,'SKU主表'!$A:$M,2,0),"")</f>
        <v/>
      </c>
      <c r="C7" s="60" t="n">
        <v>500</v>
      </c>
      <c r="D7" s="60" t="n">
        <v>40</v>
      </c>
      <c r="E7" s="60" t="n">
        <v>5</v>
      </c>
      <c r="F7" s="60" t="n">
        <v>0</v>
      </c>
      <c r="G7" s="60" t="n">
        <v>0</v>
      </c>
      <c r="H7" s="57">
        <f>IFERROR($D7/$C7,"")</f>
        <v/>
      </c>
      <c r="I7" s="57">
        <f>IFERROR($E7/$D7,"")</f>
        <v/>
      </c>
      <c r="J7" s="57">
        <f>IFERROR($F7/$E7,"")</f>
        <v/>
      </c>
      <c r="K7" s="57">
        <f>IFERROR($G7/$F7,"")</f>
        <v/>
      </c>
      <c r="L7" s="40">
        <f>IF($C7="","",IF($C7&gt;='参数配置'!$B$14,"高流量","低流量"))</f>
        <v/>
      </c>
      <c r="M7" s="40">
        <f>IF($J7="","",IF($J7&gt;='参数配置'!$B$15,"高转化","低转化"))</f>
        <v/>
      </c>
      <c r="N7" s="48">
        <f>IF(OR($L7="",$M7=""),"",$L7&amp;$M7)</f>
        <v/>
      </c>
      <c r="O7" s="6">
        <f>IF($N7="","",IF($N7="高流量高转化","主推：加库存/上活动/扩达人/试投流",IF($N7="高流量低转化","查转化：价格/运费/优惠券/主图/详情/评价/客服",IF($N7="低流量高转化","加曝光：达人/短视频/直播/商城活动+秒杀",IF($N7="低流量低转化","下架或改图改标题重测/放弃","")))))</f>
        <v/>
      </c>
      <c r="P7" s="6">
        <f>IF($K7="","",IF($K7&gt;'参数配置'!$B$16,"⚠️退款率偏高·查质量/尺码/物流",""))</f>
        <v/>
      </c>
    </row>
    <row r="8">
      <c r="A8" s="52" t="n"/>
      <c r="B8" s="46">
        <f>IFERROR(VLOOKUP($A8,'SKU主表'!$A:$M,2,0),"")</f>
        <v/>
      </c>
      <c r="C8" s="61" t="n"/>
      <c r="D8" s="61" t="n"/>
      <c r="E8" s="61" t="n"/>
      <c r="F8" s="61" t="n"/>
      <c r="G8" s="61" t="n"/>
      <c r="H8" s="57">
        <f>IFERROR($D8/$C8,"")</f>
        <v/>
      </c>
      <c r="I8" s="57">
        <f>IFERROR($E8/$D8,"")</f>
        <v/>
      </c>
      <c r="J8" s="57">
        <f>IFERROR($F8/$E8,"")</f>
        <v/>
      </c>
      <c r="K8" s="57">
        <f>IFERROR($G8/$F8,"")</f>
        <v/>
      </c>
      <c r="L8" s="40">
        <f>IF($C8="","",IF($C8&gt;='参数配置'!$B$14,"高流量","低流量"))</f>
        <v/>
      </c>
      <c r="M8" s="40">
        <f>IF($J8="","",IF($J8&gt;='参数配置'!$B$15,"高转化","低转化"))</f>
        <v/>
      </c>
      <c r="N8" s="48">
        <f>IF(OR($L8="",$M8=""),"",$L8&amp;$M8)</f>
        <v/>
      </c>
      <c r="O8" s="6">
        <f>IF($N8="","",IF($N8="高流量高转化","主推：加库存/上活动/扩达人/试投流",IF($N8="高流量低转化","查转化：价格/运费/优惠券/主图/详情/评价/客服",IF($N8="低流量高转化","加曝光：达人/短视频/直播/商城活动+秒杀",IF($N8="低流量低转化","下架或改图改标题重测/放弃","")))))</f>
        <v/>
      </c>
      <c r="P8" s="6">
        <f>IF($K8="","",IF($K8&gt;'参数配置'!$B$16,"⚠️退款率偏高·查质量/尺码/物流",""))</f>
        <v/>
      </c>
    </row>
    <row r="9">
      <c r="A9" s="52" t="n"/>
      <c r="B9" s="46">
        <f>IFERROR(VLOOKUP($A9,'SKU主表'!$A:$M,2,0),"")</f>
        <v/>
      </c>
      <c r="C9" s="61" t="n"/>
      <c r="D9" s="61" t="n"/>
      <c r="E9" s="61" t="n"/>
      <c r="F9" s="61" t="n"/>
      <c r="G9" s="61" t="n"/>
      <c r="H9" s="57">
        <f>IFERROR($D9/$C9,"")</f>
        <v/>
      </c>
      <c r="I9" s="57">
        <f>IFERROR($E9/$D9,"")</f>
        <v/>
      </c>
      <c r="J9" s="57">
        <f>IFERROR($F9/$E9,"")</f>
        <v/>
      </c>
      <c r="K9" s="57">
        <f>IFERROR($G9/$F9,"")</f>
        <v/>
      </c>
      <c r="L9" s="40">
        <f>IF($C9="","",IF($C9&gt;='参数配置'!$B$14,"高流量","低流量"))</f>
        <v/>
      </c>
      <c r="M9" s="40">
        <f>IF($J9="","",IF($J9&gt;='参数配置'!$B$15,"高转化","低转化"))</f>
        <v/>
      </c>
      <c r="N9" s="48">
        <f>IF(OR($L9="",$M9=""),"",$L9&amp;$M9)</f>
        <v/>
      </c>
      <c r="O9" s="6">
        <f>IF($N9="","",IF($N9="高流量高转化","主推：加库存/上活动/扩达人/试投流",IF($N9="高流量低转化","查转化：价格/运费/优惠券/主图/详情/评价/客服",IF($N9="低流量高转化","加曝光：达人/短视频/直播/商城活动+秒杀",IF($N9="低流量低转化","下架或改图改标题重测/放弃","")))))</f>
        <v/>
      </c>
      <c r="P9" s="6">
        <f>IF($K9="","",IF($K9&gt;'参数配置'!$B$16,"⚠️退款率偏高·查质量/尺码/物流",""))</f>
        <v/>
      </c>
    </row>
    <row r="10">
      <c r="A10" s="52" t="n"/>
      <c r="B10" s="46">
        <f>IFERROR(VLOOKUP($A10,'SKU主表'!$A:$M,2,0),"")</f>
        <v/>
      </c>
      <c r="C10" s="61" t="n"/>
      <c r="D10" s="61" t="n"/>
      <c r="E10" s="61" t="n"/>
      <c r="F10" s="61" t="n"/>
      <c r="G10" s="61" t="n"/>
      <c r="H10" s="57">
        <f>IFERROR($D10/$C10,"")</f>
        <v/>
      </c>
      <c r="I10" s="57">
        <f>IFERROR($E10/$D10,"")</f>
        <v/>
      </c>
      <c r="J10" s="57">
        <f>IFERROR($F10/$E10,"")</f>
        <v/>
      </c>
      <c r="K10" s="57">
        <f>IFERROR($G10/$F10,"")</f>
        <v/>
      </c>
      <c r="L10" s="40">
        <f>IF($C10="","",IF($C10&gt;='参数配置'!$B$14,"高流量","低流量"))</f>
        <v/>
      </c>
      <c r="M10" s="40">
        <f>IF($J10="","",IF($J10&gt;='参数配置'!$B$15,"高转化","低转化"))</f>
        <v/>
      </c>
      <c r="N10" s="48">
        <f>IF(OR($L10="",$M10=""),"",$L10&amp;$M10)</f>
        <v/>
      </c>
      <c r="O10" s="6">
        <f>IF($N10="","",IF($N10="高流量高转化","主推：加库存/上活动/扩达人/试投流",IF($N10="高流量低转化","查转化：价格/运费/优惠券/主图/详情/评价/客服",IF($N10="低流量高转化","加曝光：达人/短视频/直播/商城活动+秒杀",IF($N10="低流量低转化","下架或改图改标题重测/放弃","")))))</f>
        <v/>
      </c>
      <c r="P10" s="6">
        <f>IF($K10="","",IF($K10&gt;'参数配置'!$B$16,"⚠️退款率偏高·查质量/尺码/物流",""))</f>
        <v/>
      </c>
    </row>
    <row r="11">
      <c r="A11" s="52" t="n"/>
      <c r="B11" s="46">
        <f>IFERROR(VLOOKUP($A11,'SKU主表'!$A:$M,2,0),"")</f>
        <v/>
      </c>
      <c r="C11" s="61" t="n"/>
      <c r="D11" s="61" t="n"/>
      <c r="E11" s="61" t="n"/>
      <c r="F11" s="61" t="n"/>
      <c r="G11" s="61" t="n"/>
      <c r="H11" s="57">
        <f>IFERROR($D11/$C11,"")</f>
        <v/>
      </c>
      <c r="I11" s="57">
        <f>IFERROR($E11/$D11,"")</f>
        <v/>
      </c>
      <c r="J11" s="57">
        <f>IFERROR($F11/$E11,"")</f>
        <v/>
      </c>
      <c r="K11" s="57">
        <f>IFERROR($G11/$F11,"")</f>
        <v/>
      </c>
      <c r="L11" s="40">
        <f>IF($C11="","",IF($C11&gt;='参数配置'!$B$14,"高流量","低流量"))</f>
        <v/>
      </c>
      <c r="M11" s="40">
        <f>IF($J11="","",IF($J11&gt;='参数配置'!$B$15,"高转化","低转化"))</f>
        <v/>
      </c>
      <c r="N11" s="48">
        <f>IF(OR($L11="",$M11=""),"",$L11&amp;$M11)</f>
        <v/>
      </c>
      <c r="O11" s="6">
        <f>IF($N11="","",IF($N11="高流量高转化","主推：加库存/上活动/扩达人/试投流",IF($N11="高流量低转化","查转化：价格/运费/优惠券/主图/详情/评价/客服",IF($N11="低流量高转化","加曝光：达人/短视频/直播/商城活动+秒杀",IF($N11="低流量低转化","下架或改图改标题重测/放弃","")))))</f>
        <v/>
      </c>
      <c r="P11" s="6">
        <f>IF($K11="","",IF($K11&gt;'参数配置'!$B$16,"⚠️退款率偏高·查质量/尺码/物流",""))</f>
        <v/>
      </c>
    </row>
    <row r="12">
      <c r="A12" s="52" t="n"/>
      <c r="B12" s="46">
        <f>IFERROR(VLOOKUP($A12,'SKU主表'!$A:$M,2,0),"")</f>
        <v/>
      </c>
      <c r="C12" s="61" t="n"/>
      <c r="D12" s="61" t="n"/>
      <c r="E12" s="61" t="n"/>
      <c r="F12" s="61" t="n"/>
      <c r="G12" s="61" t="n"/>
      <c r="H12" s="57">
        <f>IFERROR($D12/$C12,"")</f>
        <v/>
      </c>
      <c r="I12" s="57">
        <f>IFERROR($E12/$D12,"")</f>
        <v/>
      </c>
      <c r="J12" s="57">
        <f>IFERROR($F12/$E12,"")</f>
        <v/>
      </c>
      <c r="K12" s="57">
        <f>IFERROR($G12/$F12,"")</f>
        <v/>
      </c>
      <c r="L12" s="40">
        <f>IF($C12="","",IF($C12&gt;='参数配置'!$B$14,"高流量","低流量"))</f>
        <v/>
      </c>
      <c r="M12" s="40">
        <f>IF($J12="","",IF($J12&gt;='参数配置'!$B$15,"高转化","低转化"))</f>
        <v/>
      </c>
      <c r="N12" s="48">
        <f>IF(OR($L12="",$M12=""),"",$L12&amp;$M12)</f>
        <v/>
      </c>
      <c r="O12" s="6">
        <f>IF($N12="","",IF($N12="高流量高转化","主推：加库存/上活动/扩达人/试投流",IF($N12="高流量低转化","查转化：价格/运费/优惠券/主图/详情/评价/客服",IF($N12="低流量高转化","加曝光：达人/短视频/直播/商城活动+秒杀",IF($N12="低流量低转化","下架或改图改标题重测/放弃","")))))</f>
        <v/>
      </c>
      <c r="P12" s="6">
        <f>IF($K12="","",IF($K12&gt;'参数配置'!$B$16,"⚠️退款率偏高·查质量/尺码/物流",""))</f>
        <v/>
      </c>
    </row>
    <row r="13">
      <c r="A13" s="52" t="n"/>
      <c r="B13" s="46">
        <f>IFERROR(VLOOKUP($A13,'SKU主表'!$A:$M,2,0),"")</f>
        <v/>
      </c>
      <c r="C13" s="61" t="n"/>
      <c r="D13" s="61" t="n"/>
      <c r="E13" s="61" t="n"/>
      <c r="F13" s="61" t="n"/>
      <c r="G13" s="61" t="n"/>
      <c r="H13" s="57">
        <f>IFERROR($D13/$C13,"")</f>
        <v/>
      </c>
      <c r="I13" s="57">
        <f>IFERROR($E13/$D13,"")</f>
        <v/>
      </c>
      <c r="J13" s="57">
        <f>IFERROR($F13/$E13,"")</f>
        <v/>
      </c>
      <c r="K13" s="57">
        <f>IFERROR($G13/$F13,"")</f>
        <v/>
      </c>
      <c r="L13" s="40">
        <f>IF($C13="","",IF($C13&gt;='参数配置'!$B$14,"高流量","低流量"))</f>
        <v/>
      </c>
      <c r="M13" s="40">
        <f>IF($J13="","",IF($J13&gt;='参数配置'!$B$15,"高转化","低转化"))</f>
        <v/>
      </c>
      <c r="N13" s="48">
        <f>IF(OR($L13="",$M13=""),"",$L13&amp;$M13)</f>
        <v/>
      </c>
      <c r="O13" s="6">
        <f>IF($N13="","",IF($N13="高流量高转化","主推：加库存/上活动/扩达人/试投流",IF($N13="高流量低转化","查转化：价格/运费/优惠券/主图/详情/评价/客服",IF($N13="低流量高转化","加曝光：达人/短视频/直播/商城活动+秒杀",IF($N13="低流量低转化","下架或改图改标题重测/放弃","")))))</f>
        <v/>
      </c>
      <c r="P13" s="6">
        <f>IF($K13="","",IF($K13&gt;'参数配置'!$B$16,"⚠️退款率偏高·查质量/尺码/物流",""))</f>
        <v/>
      </c>
    </row>
    <row r="14">
      <c r="A14" s="52" t="n"/>
      <c r="B14" s="46">
        <f>IFERROR(VLOOKUP($A14,'SKU主表'!$A:$M,2,0),"")</f>
        <v/>
      </c>
      <c r="C14" s="61" t="n"/>
      <c r="D14" s="61" t="n"/>
      <c r="E14" s="61" t="n"/>
      <c r="F14" s="61" t="n"/>
      <c r="G14" s="61" t="n"/>
      <c r="H14" s="57">
        <f>IFERROR($D14/$C14,"")</f>
        <v/>
      </c>
      <c r="I14" s="57">
        <f>IFERROR($E14/$D14,"")</f>
        <v/>
      </c>
      <c r="J14" s="57">
        <f>IFERROR($F14/$E14,"")</f>
        <v/>
      </c>
      <c r="K14" s="57">
        <f>IFERROR($G14/$F14,"")</f>
        <v/>
      </c>
      <c r="L14" s="40">
        <f>IF($C14="","",IF($C14&gt;='参数配置'!$B$14,"高流量","低流量"))</f>
        <v/>
      </c>
      <c r="M14" s="40">
        <f>IF($J14="","",IF($J14&gt;='参数配置'!$B$15,"高转化","低转化"))</f>
        <v/>
      </c>
      <c r="N14" s="48">
        <f>IF(OR($L14="",$M14=""),"",$L14&amp;$M14)</f>
        <v/>
      </c>
      <c r="O14" s="6">
        <f>IF($N14="","",IF($N14="高流量高转化","主推：加库存/上活动/扩达人/试投流",IF($N14="高流量低转化","查转化：价格/运费/优惠券/主图/详情/评价/客服",IF($N14="低流量高转化","加曝光：达人/短视频/直播/商城活动+秒杀",IF($N14="低流量低转化","下架或改图改标题重测/放弃","")))))</f>
        <v/>
      </c>
      <c r="P14" s="6">
        <f>IF($K14="","",IF($K14&gt;'参数配置'!$B$16,"⚠️退款率偏高·查质量/尺码/物流",""))</f>
        <v/>
      </c>
    </row>
    <row r="15">
      <c r="A15" s="52" t="n"/>
      <c r="B15" s="46">
        <f>IFERROR(VLOOKUP($A15,'SKU主表'!$A:$M,2,0),"")</f>
        <v/>
      </c>
      <c r="C15" s="61" t="n"/>
      <c r="D15" s="61" t="n"/>
      <c r="E15" s="61" t="n"/>
      <c r="F15" s="61" t="n"/>
      <c r="G15" s="61" t="n"/>
      <c r="H15" s="57">
        <f>IFERROR($D15/$C15,"")</f>
        <v/>
      </c>
      <c r="I15" s="57">
        <f>IFERROR($E15/$D15,"")</f>
        <v/>
      </c>
      <c r="J15" s="57">
        <f>IFERROR($F15/$E15,"")</f>
        <v/>
      </c>
      <c r="K15" s="57">
        <f>IFERROR($G15/$F15,"")</f>
        <v/>
      </c>
      <c r="L15" s="40">
        <f>IF($C15="","",IF($C15&gt;='参数配置'!$B$14,"高流量","低流量"))</f>
        <v/>
      </c>
      <c r="M15" s="40">
        <f>IF($J15="","",IF($J15&gt;='参数配置'!$B$15,"高转化","低转化"))</f>
        <v/>
      </c>
      <c r="N15" s="48">
        <f>IF(OR($L15="",$M15=""),"",$L15&amp;$M15)</f>
        <v/>
      </c>
      <c r="O15" s="6">
        <f>IF($N15="","",IF($N15="高流量高转化","主推：加库存/上活动/扩达人/试投流",IF($N15="高流量低转化","查转化：价格/运费/优惠券/主图/详情/评价/客服",IF($N15="低流量高转化","加曝光：达人/短视频/直播/商城活动+秒杀",IF($N15="低流量低转化","下架或改图改标题重测/放弃","")))))</f>
        <v/>
      </c>
      <c r="P15" s="6">
        <f>IF($K15="","",IF($K15&gt;'参数配置'!$B$16,"⚠️退款率偏高·查质量/尺码/物流",""))</f>
        <v/>
      </c>
    </row>
    <row r="16">
      <c r="A16" s="52" t="n"/>
      <c r="B16" s="46">
        <f>IFERROR(VLOOKUP($A16,'SKU主表'!$A:$M,2,0),"")</f>
        <v/>
      </c>
      <c r="C16" s="61" t="n"/>
      <c r="D16" s="61" t="n"/>
      <c r="E16" s="61" t="n"/>
      <c r="F16" s="61" t="n"/>
      <c r="G16" s="61" t="n"/>
      <c r="H16" s="57">
        <f>IFERROR($D16/$C16,"")</f>
        <v/>
      </c>
      <c r="I16" s="57">
        <f>IFERROR($E16/$D16,"")</f>
        <v/>
      </c>
      <c r="J16" s="57">
        <f>IFERROR($F16/$E16,"")</f>
        <v/>
      </c>
      <c r="K16" s="57">
        <f>IFERROR($G16/$F16,"")</f>
        <v/>
      </c>
      <c r="L16" s="40">
        <f>IF($C16="","",IF($C16&gt;='参数配置'!$B$14,"高流量","低流量"))</f>
        <v/>
      </c>
      <c r="M16" s="40">
        <f>IF($J16="","",IF($J16&gt;='参数配置'!$B$15,"高转化","低转化"))</f>
        <v/>
      </c>
      <c r="N16" s="48">
        <f>IF(OR($L16="",$M16=""),"",$L16&amp;$M16)</f>
        <v/>
      </c>
      <c r="O16" s="6">
        <f>IF($N16="","",IF($N16="高流量高转化","主推：加库存/上活动/扩达人/试投流",IF($N16="高流量低转化","查转化：价格/运费/优惠券/主图/详情/评价/客服",IF($N16="低流量高转化","加曝光：达人/短视频/直播/商城活动+秒杀",IF($N16="低流量低转化","下架或改图改标题重测/放弃","")))))</f>
        <v/>
      </c>
      <c r="P16" s="6">
        <f>IF($K16="","",IF($K16&gt;'参数配置'!$B$16,"⚠️退款率偏高·查质量/尺码/物流",""))</f>
        <v/>
      </c>
    </row>
    <row r="17">
      <c r="A17" s="52" t="n"/>
      <c r="B17" s="46">
        <f>IFERROR(VLOOKUP($A17,'SKU主表'!$A:$M,2,0),"")</f>
        <v/>
      </c>
      <c r="C17" s="61" t="n"/>
      <c r="D17" s="61" t="n"/>
      <c r="E17" s="61" t="n"/>
      <c r="F17" s="61" t="n"/>
      <c r="G17" s="61" t="n"/>
      <c r="H17" s="57">
        <f>IFERROR($D17/$C17,"")</f>
        <v/>
      </c>
      <c r="I17" s="57">
        <f>IFERROR($E17/$D17,"")</f>
        <v/>
      </c>
      <c r="J17" s="57">
        <f>IFERROR($F17/$E17,"")</f>
        <v/>
      </c>
      <c r="K17" s="57">
        <f>IFERROR($G17/$F17,"")</f>
        <v/>
      </c>
      <c r="L17" s="40">
        <f>IF($C17="","",IF($C17&gt;='参数配置'!$B$14,"高流量","低流量"))</f>
        <v/>
      </c>
      <c r="M17" s="40">
        <f>IF($J17="","",IF($J17&gt;='参数配置'!$B$15,"高转化","低转化"))</f>
        <v/>
      </c>
      <c r="N17" s="48">
        <f>IF(OR($L17="",$M17=""),"",$L17&amp;$M17)</f>
        <v/>
      </c>
      <c r="O17" s="6">
        <f>IF($N17="","",IF($N17="高流量高转化","主推：加库存/上活动/扩达人/试投流",IF($N17="高流量低转化","查转化：价格/运费/优惠券/主图/详情/评价/客服",IF($N17="低流量高转化","加曝光：达人/短视频/直播/商城活动+秒杀",IF($N17="低流量低转化","下架或改图改标题重测/放弃","")))))</f>
        <v/>
      </c>
      <c r="P17" s="6">
        <f>IF($K17="","",IF($K17&gt;'参数配置'!$B$16,"⚠️退款率偏高·查质量/尺码/物流",""))</f>
        <v/>
      </c>
    </row>
    <row r="18">
      <c r="A18" s="52" t="n"/>
      <c r="B18" s="46">
        <f>IFERROR(VLOOKUP($A18,'SKU主表'!$A:$M,2,0),"")</f>
        <v/>
      </c>
      <c r="C18" s="61" t="n"/>
      <c r="D18" s="61" t="n"/>
      <c r="E18" s="61" t="n"/>
      <c r="F18" s="61" t="n"/>
      <c r="G18" s="61" t="n"/>
      <c r="H18" s="57">
        <f>IFERROR($D18/$C18,"")</f>
        <v/>
      </c>
      <c r="I18" s="57">
        <f>IFERROR($E18/$D18,"")</f>
        <v/>
      </c>
      <c r="J18" s="57">
        <f>IFERROR($F18/$E18,"")</f>
        <v/>
      </c>
      <c r="K18" s="57">
        <f>IFERROR($G18/$F18,"")</f>
        <v/>
      </c>
      <c r="L18" s="40">
        <f>IF($C18="","",IF($C18&gt;='参数配置'!$B$14,"高流量","低流量"))</f>
        <v/>
      </c>
      <c r="M18" s="40">
        <f>IF($J18="","",IF($J18&gt;='参数配置'!$B$15,"高转化","低转化"))</f>
        <v/>
      </c>
      <c r="N18" s="48">
        <f>IF(OR($L18="",$M18=""),"",$L18&amp;$M18)</f>
        <v/>
      </c>
      <c r="O18" s="6">
        <f>IF($N18="","",IF($N18="高流量高转化","主推：加库存/上活动/扩达人/试投流",IF($N18="高流量低转化","查转化：价格/运费/优惠券/主图/详情/评价/客服",IF($N18="低流量高转化","加曝光：达人/短视频/直播/商城活动+秒杀",IF($N18="低流量低转化","下架或改图改标题重测/放弃","")))))</f>
        <v/>
      </c>
      <c r="P18" s="6">
        <f>IF($K18="","",IF($K18&gt;'参数配置'!$B$16,"⚠️退款率偏高·查质量/尺码/物流",""))</f>
        <v/>
      </c>
    </row>
    <row r="19">
      <c r="A19" s="52" t="n"/>
      <c r="B19" s="46">
        <f>IFERROR(VLOOKUP($A19,'SKU主表'!$A:$M,2,0),"")</f>
        <v/>
      </c>
      <c r="C19" s="61" t="n"/>
      <c r="D19" s="61" t="n"/>
      <c r="E19" s="61" t="n"/>
      <c r="F19" s="61" t="n"/>
      <c r="G19" s="61" t="n"/>
      <c r="H19" s="57">
        <f>IFERROR($D19/$C19,"")</f>
        <v/>
      </c>
      <c r="I19" s="57">
        <f>IFERROR($E19/$D19,"")</f>
        <v/>
      </c>
      <c r="J19" s="57">
        <f>IFERROR($F19/$E19,"")</f>
        <v/>
      </c>
      <c r="K19" s="57">
        <f>IFERROR($G19/$F19,"")</f>
        <v/>
      </c>
      <c r="L19" s="40">
        <f>IF($C19="","",IF($C19&gt;='参数配置'!$B$14,"高流量","低流量"))</f>
        <v/>
      </c>
      <c r="M19" s="40">
        <f>IF($J19="","",IF($J19&gt;='参数配置'!$B$15,"高转化","低转化"))</f>
        <v/>
      </c>
      <c r="N19" s="48">
        <f>IF(OR($L19="",$M19=""),"",$L19&amp;$M19)</f>
        <v/>
      </c>
      <c r="O19" s="6">
        <f>IF($N19="","",IF($N19="高流量高转化","主推：加库存/上活动/扩达人/试投流",IF($N19="高流量低转化","查转化：价格/运费/优惠券/主图/详情/评价/客服",IF($N19="低流量高转化","加曝光：达人/短视频/直播/商城活动+秒杀",IF($N19="低流量低转化","下架或改图改标题重测/放弃","")))))</f>
        <v/>
      </c>
      <c r="P19" s="6">
        <f>IF($K19="","",IF($K19&gt;'参数配置'!$B$16,"⚠️退款率偏高·查质量/尺码/物流",""))</f>
        <v/>
      </c>
    </row>
    <row r="20">
      <c r="A20" s="52" t="n"/>
      <c r="B20" s="46">
        <f>IFERROR(VLOOKUP($A20,'SKU主表'!$A:$M,2,0),"")</f>
        <v/>
      </c>
      <c r="C20" s="61" t="n"/>
      <c r="D20" s="61" t="n"/>
      <c r="E20" s="61" t="n"/>
      <c r="F20" s="61" t="n"/>
      <c r="G20" s="61" t="n"/>
      <c r="H20" s="57">
        <f>IFERROR($D20/$C20,"")</f>
        <v/>
      </c>
      <c r="I20" s="57">
        <f>IFERROR($E20/$D20,"")</f>
        <v/>
      </c>
      <c r="J20" s="57">
        <f>IFERROR($F20/$E20,"")</f>
        <v/>
      </c>
      <c r="K20" s="57">
        <f>IFERROR($G20/$F20,"")</f>
        <v/>
      </c>
      <c r="L20" s="40">
        <f>IF($C20="","",IF($C20&gt;='参数配置'!$B$14,"高流量","低流量"))</f>
        <v/>
      </c>
      <c r="M20" s="40">
        <f>IF($J20="","",IF($J20&gt;='参数配置'!$B$15,"高转化","低转化"))</f>
        <v/>
      </c>
      <c r="N20" s="48">
        <f>IF(OR($L20="",$M20=""),"",$L20&amp;$M20)</f>
        <v/>
      </c>
      <c r="O20" s="6">
        <f>IF($N20="","",IF($N20="高流量高转化","主推：加库存/上活动/扩达人/试投流",IF($N20="高流量低转化","查转化：价格/运费/优惠券/主图/详情/评价/客服",IF($N20="低流量高转化","加曝光：达人/短视频/直播/商城活动+秒杀",IF($N20="低流量低转化","下架或改图改标题重测/放弃","")))))</f>
        <v/>
      </c>
      <c r="P20" s="6">
        <f>IF($K20="","",IF($K20&gt;'参数配置'!$B$16,"⚠️退款率偏高·查质量/尺码/物流",""))</f>
        <v/>
      </c>
    </row>
    <row r="21">
      <c r="A21" s="52" t="n"/>
      <c r="B21" s="46">
        <f>IFERROR(VLOOKUP($A21,'SKU主表'!$A:$M,2,0),"")</f>
        <v/>
      </c>
      <c r="C21" s="61" t="n"/>
      <c r="D21" s="61" t="n"/>
      <c r="E21" s="61" t="n"/>
      <c r="F21" s="61" t="n"/>
      <c r="G21" s="61" t="n"/>
      <c r="H21" s="57">
        <f>IFERROR($D21/$C21,"")</f>
        <v/>
      </c>
      <c r="I21" s="57">
        <f>IFERROR($E21/$D21,"")</f>
        <v/>
      </c>
      <c r="J21" s="57">
        <f>IFERROR($F21/$E21,"")</f>
        <v/>
      </c>
      <c r="K21" s="57">
        <f>IFERROR($G21/$F21,"")</f>
        <v/>
      </c>
      <c r="L21" s="40">
        <f>IF($C21="","",IF($C21&gt;='参数配置'!$B$14,"高流量","低流量"))</f>
        <v/>
      </c>
      <c r="M21" s="40">
        <f>IF($J21="","",IF($J21&gt;='参数配置'!$B$15,"高转化","低转化"))</f>
        <v/>
      </c>
      <c r="N21" s="48">
        <f>IF(OR($L21="",$M21=""),"",$L21&amp;$M21)</f>
        <v/>
      </c>
      <c r="O21" s="6">
        <f>IF($N21="","",IF($N21="高流量高转化","主推：加库存/上活动/扩达人/试投流",IF($N21="高流量低转化","查转化：价格/运费/优惠券/主图/详情/评价/客服",IF($N21="低流量高转化","加曝光：达人/短视频/直播/商城活动+秒杀",IF($N21="低流量低转化","下架或改图改标题重测/放弃","")))))</f>
        <v/>
      </c>
      <c r="P21" s="6">
        <f>IF($K21="","",IF($K21&gt;'参数配置'!$B$16,"⚠️退款率偏高·查质量/尺码/物流",""))</f>
        <v/>
      </c>
    </row>
    <row r="22">
      <c r="A22" s="52" t="n"/>
      <c r="B22" s="46">
        <f>IFERROR(VLOOKUP($A22,'SKU主表'!$A:$M,2,0),"")</f>
        <v/>
      </c>
      <c r="C22" s="61" t="n"/>
      <c r="D22" s="61" t="n"/>
      <c r="E22" s="61" t="n"/>
      <c r="F22" s="61" t="n"/>
      <c r="G22" s="61" t="n"/>
      <c r="H22" s="57">
        <f>IFERROR($D22/$C22,"")</f>
        <v/>
      </c>
      <c r="I22" s="57">
        <f>IFERROR($E22/$D22,"")</f>
        <v/>
      </c>
      <c r="J22" s="57">
        <f>IFERROR($F22/$E22,"")</f>
        <v/>
      </c>
      <c r="K22" s="57">
        <f>IFERROR($G22/$F22,"")</f>
        <v/>
      </c>
      <c r="L22" s="40">
        <f>IF($C22="","",IF($C22&gt;='参数配置'!$B$14,"高流量","低流量"))</f>
        <v/>
      </c>
      <c r="M22" s="40">
        <f>IF($J22="","",IF($J22&gt;='参数配置'!$B$15,"高转化","低转化"))</f>
        <v/>
      </c>
      <c r="N22" s="48">
        <f>IF(OR($L22="",$M22=""),"",$L22&amp;$M22)</f>
        <v/>
      </c>
      <c r="O22" s="6">
        <f>IF($N22="","",IF($N22="高流量高转化","主推：加库存/上活动/扩达人/试投流",IF($N22="高流量低转化","查转化：价格/运费/优惠券/主图/详情/评价/客服",IF($N22="低流量高转化","加曝光：达人/短视频/直播/商城活动+秒杀",IF($N22="低流量低转化","下架或改图改标题重测/放弃","")))))</f>
        <v/>
      </c>
      <c r="P22" s="6">
        <f>IF($K22="","",IF($K22&gt;'参数配置'!$B$16,"⚠️退款率偏高·查质量/尺码/物流",""))</f>
        <v/>
      </c>
    </row>
    <row r="23">
      <c r="A23" s="52" t="n"/>
      <c r="B23" s="46">
        <f>IFERROR(VLOOKUP($A23,'SKU主表'!$A:$M,2,0),"")</f>
        <v/>
      </c>
      <c r="C23" s="61" t="n"/>
      <c r="D23" s="61" t="n"/>
      <c r="E23" s="61" t="n"/>
      <c r="F23" s="61" t="n"/>
      <c r="G23" s="61" t="n"/>
      <c r="H23" s="57">
        <f>IFERROR($D23/$C23,"")</f>
        <v/>
      </c>
      <c r="I23" s="57">
        <f>IFERROR($E23/$D23,"")</f>
        <v/>
      </c>
      <c r="J23" s="57">
        <f>IFERROR($F23/$E23,"")</f>
        <v/>
      </c>
      <c r="K23" s="57">
        <f>IFERROR($G23/$F23,"")</f>
        <v/>
      </c>
      <c r="L23" s="40">
        <f>IF($C23="","",IF($C23&gt;='参数配置'!$B$14,"高流量","低流量"))</f>
        <v/>
      </c>
      <c r="M23" s="40">
        <f>IF($J23="","",IF($J23&gt;='参数配置'!$B$15,"高转化","低转化"))</f>
        <v/>
      </c>
      <c r="N23" s="48">
        <f>IF(OR($L23="",$M23=""),"",$L23&amp;$M23)</f>
        <v/>
      </c>
      <c r="O23" s="6">
        <f>IF($N23="","",IF($N23="高流量高转化","主推：加库存/上活动/扩达人/试投流",IF($N23="高流量低转化","查转化：价格/运费/优惠券/主图/详情/评价/客服",IF($N23="低流量高转化","加曝光：达人/短视频/直播/商城活动+秒杀",IF($N23="低流量低转化","下架或改图改标题重测/放弃","")))))</f>
        <v/>
      </c>
      <c r="P23" s="6">
        <f>IF($K23="","",IF($K23&gt;'参数配置'!$B$16,"⚠️退款率偏高·查质量/尺码/物流",""))</f>
        <v/>
      </c>
    </row>
    <row r="24">
      <c r="A24" s="52" t="n"/>
      <c r="B24" s="46">
        <f>IFERROR(VLOOKUP($A24,'SKU主表'!$A:$M,2,0),"")</f>
        <v/>
      </c>
      <c r="C24" s="61" t="n"/>
      <c r="D24" s="61" t="n"/>
      <c r="E24" s="61" t="n"/>
      <c r="F24" s="61" t="n"/>
      <c r="G24" s="61" t="n"/>
      <c r="H24" s="57">
        <f>IFERROR($D24/$C24,"")</f>
        <v/>
      </c>
      <c r="I24" s="57">
        <f>IFERROR($E24/$D24,"")</f>
        <v/>
      </c>
      <c r="J24" s="57">
        <f>IFERROR($F24/$E24,"")</f>
        <v/>
      </c>
      <c r="K24" s="57">
        <f>IFERROR($G24/$F24,"")</f>
        <v/>
      </c>
      <c r="L24" s="40">
        <f>IF($C24="","",IF($C24&gt;='参数配置'!$B$14,"高流量","低流量"))</f>
        <v/>
      </c>
      <c r="M24" s="40">
        <f>IF($J24="","",IF($J24&gt;='参数配置'!$B$15,"高转化","低转化"))</f>
        <v/>
      </c>
      <c r="N24" s="48">
        <f>IF(OR($L24="",$M24=""),"",$L24&amp;$M24)</f>
        <v/>
      </c>
      <c r="O24" s="6">
        <f>IF($N24="","",IF($N24="高流量高转化","主推：加库存/上活动/扩达人/试投流",IF($N24="高流量低转化","查转化：价格/运费/优惠券/主图/详情/评价/客服",IF($N24="低流量高转化","加曝光：达人/短视频/直播/商城活动+秒杀",IF($N24="低流量低转化","下架或改图改标题重测/放弃","")))))</f>
        <v/>
      </c>
      <c r="P24" s="6">
        <f>IF($K24="","",IF($K24&gt;'参数配置'!$B$16,"⚠️退款率偏高·查质量/尺码/物流",""))</f>
        <v/>
      </c>
    </row>
    <row r="25">
      <c r="A25" s="52" t="n"/>
      <c r="B25" s="46">
        <f>IFERROR(VLOOKUP($A25,'SKU主表'!$A:$M,2,0),"")</f>
        <v/>
      </c>
      <c r="C25" s="61" t="n"/>
      <c r="D25" s="61" t="n"/>
      <c r="E25" s="61" t="n"/>
      <c r="F25" s="61" t="n"/>
      <c r="G25" s="61" t="n"/>
      <c r="H25" s="57">
        <f>IFERROR($D25/$C25,"")</f>
        <v/>
      </c>
      <c r="I25" s="57">
        <f>IFERROR($E25/$D25,"")</f>
        <v/>
      </c>
      <c r="J25" s="57">
        <f>IFERROR($F25/$E25,"")</f>
        <v/>
      </c>
      <c r="K25" s="57">
        <f>IFERROR($G25/$F25,"")</f>
        <v/>
      </c>
      <c r="L25" s="40">
        <f>IF($C25="","",IF($C25&gt;='参数配置'!$B$14,"高流量","低流量"))</f>
        <v/>
      </c>
      <c r="M25" s="40">
        <f>IF($J25="","",IF($J25&gt;='参数配置'!$B$15,"高转化","低转化"))</f>
        <v/>
      </c>
      <c r="N25" s="48">
        <f>IF(OR($L25="",$M25=""),"",$L25&amp;$M25)</f>
        <v/>
      </c>
      <c r="O25" s="6">
        <f>IF($N25="","",IF($N25="高流量高转化","主推：加库存/上活动/扩达人/试投流",IF($N25="高流量低转化","查转化：价格/运费/优惠券/主图/详情/评价/客服",IF($N25="低流量高转化","加曝光：达人/短视频/直播/商城活动+秒杀",IF($N25="低流量低转化","下架或改图改标题重测/放弃","")))))</f>
        <v/>
      </c>
      <c r="P25" s="6">
        <f>IF($K25="","",IF($K25&gt;'参数配置'!$B$16,"⚠️退款率偏高·查质量/尺码/物流",""))</f>
        <v/>
      </c>
    </row>
    <row r="26">
      <c r="A26" s="52" t="n"/>
      <c r="B26" s="46">
        <f>IFERROR(VLOOKUP($A26,'SKU主表'!$A:$M,2,0),"")</f>
        <v/>
      </c>
      <c r="C26" s="61" t="n"/>
      <c r="D26" s="61" t="n"/>
      <c r="E26" s="61" t="n"/>
      <c r="F26" s="61" t="n"/>
      <c r="G26" s="61" t="n"/>
      <c r="H26" s="57">
        <f>IFERROR($D26/$C26,"")</f>
        <v/>
      </c>
      <c r="I26" s="57">
        <f>IFERROR($E26/$D26,"")</f>
        <v/>
      </c>
      <c r="J26" s="57">
        <f>IFERROR($F26/$E26,"")</f>
        <v/>
      </c>
      <c r="K26" s="57">
        <f>IFERROR($G26/$F26,"")</f>
        <v/>
      </c>
      <c r="L26" s="40">
        <f>IF($C26="","",IF($C26&gt;='参数配置'!$B$14,"高流量","低流量"))</f>
        <v/>
      </c>
      <c r="M26" s="40">
        <f>IF($J26="","",IF($J26&gt;='参数配置'!$B$15,"高转化","低转化"))</f>
        <v/>
      </c>
      <c r="N26" s="48">
        <f>IF(OR($L26="",$M26=""),"",$L26&amp;$M26)</f>
        <v/>
      </c>
      <c r="O26" s="6">
        <f>IF($N26="","",IF($N26="高流量高转化","主推：加库存/上活动/扩达人/试投流",IF($N26="高流量低转化","查转化：价格/运费/优惠券/主图/详情/评价/客服",IF($N26="低流量高转化","加曝光：达人/短视频/直播/商城活动+秒杀",IF($N26="低流量低转化","下架或改图改标题重测/放弃","")))))</f>
        <v/>
      </c>
      <c r="P26" s="6">
        <f>IF($K26="","",IF($K26&gt;'参数配置'!$B$16,"⚠️退款率偏高·查质量/尺码/物流",""))</f>
        <v/>
      </c>
    </row>
    <row r="27">
      <c r="A27" s="52" t="n"/>
      <c r="B27" s="46">
        <f>IFERROR(VLOOKUP($A27,'SKU主表'!$A:$M,2,0),"")</f>
        <v/>
      </c>
      <c r="C27" s="61" t="n"/>
      <c r="D27" s="61" t="n"/>
      <c r="E27" s="61" t="n"/>
      <c r="F27" s="61" t="n"/>
      <c r="G27" s="61" t="n"/>
      <c r="H27" s="57">
        <f>IFERROR($D27/$C27,"")</f>
        <v/>
      </c>
      <c r="I27" s="57">
        <f>IFERROR($E27/$D27,"")</f>
        <v/>
      </c>
      <c r="J27" s="57">
        <f>IFERROR($F27/$E27,"")</f>
        <v/>
      </c>
      <c r="K27" s="57">
        <f>IFERROR($G27/$F27,"")</f>
        <v/>
      </c>
      <c r="L27" s="40">
        <f>IF($C27="","",IF($C27&gt;='参数配置'!$B$14,"高流量","低流量"))</f>
        <v/>
      </c>
      <c r="M27" s="40">
        <f>IF($J27="","",IF($J27&gt;='参数配置'!$B$15,"高转化","低转化"))</f>
        <v/>
      </c>
      <c r="N27" s="48">
        <f>IF(OR($L27="",$M27=""),"",$L27&amp;$M27)</f>
        <v/>
      </c>
      <c r="O27" s="6">
        <f>IF($N27="","",IF($N27="高流量高转化","主推：加库存/上活动/扩达人/试投流",IF($N27="高流量低转化","查转化：价格/运费/优惠券/主图/详情/评价/客服",IF($N27="低流量高转化","加曝光：达人/短视频/直播/商城活动+秒杀",IF($N27="低流量低转化","下架或改图改标题重测/放弃","")))))</f>
        <v/>
      </c>
      <c r="P27" s="6">
        <f>IF($K27="","",IF($K27&gt;'参数配置'!$B$16,"⚠️退款率偏高·查质量/尺码/物流",""))</f>
        <v/>
      </c>
    </row>
    <row r="28">
      <c r="A28" s="52" t="n"/>
      <c r="B28" s="46">
        <f>IFERROR(VLOOKUP($A28,'SKU主表'!$A:$M,2,0),"")</f>
        <v/>
      </c>
      <c r="C28" s="61" t="n"/>
      <c r="D28" s="61" t="n"/>
      <c r="E28" s="61" t="n"/>
      <c r="F28" s="61" t="n"/>
      <c r="G28" s="61" t="n"/>
      <c r="H28" s="57">
        <f>IFERROR($D28/$C28,"")</f>
        <v/>
      </c>
      <c r="I28" s="57">
        <f>IFERROR($E28/$D28,"")</f>
        <v/>
      </c>
      <c r="J28" s="57">
        <f>IFERROR($F28/$E28,"")</f>
        <v/>
      </c>
      <c r="K28" s="57">
        <f>IFERROR($G28/$F28,"")</f>
        <v/>
      </c>
      <c r="L28" s="40">
        <f>IF($C28="","",IF($C28&gt;='参数配置'!$B$14,"高流量","低流量"))</f>
        <v/>
      </c>
      <c r="M28" s="40">
        <f>IF($J28="","",IF($J28&gt;='参数配置'!$B$15,"高转化","低转化"))</f>
        <v/>
      </c>
      <c r="N28" s="48">
        <f>IF(OR($L28="",$M28=""),"",$L28&amp;$M28)</f>
        <v/>
      </c>
      <c r="O28" s="6">
        <f>IF($N28="","",IF($N28="高流量高转化","主推：加库存/上活动/扩达人/试投流",IF($N28="高流量低转化","查转化：价格/运费/优惠券/主图/详情/评价/客服",IF($N28="低流量高转化","加曝光：达人/短视频/直播/商城活动+秒杀",IF($N28="低流量低转化","下架或改图改标题重测/放弃","")))))</f>
        <v/>
      </c>
      <c r="P28" s="6">
        <f>IF($K28="","",IF($K28&gt;'参数配置'!$B$16,"⚠️退款率偏高·查质量/尺码/物流",""))</f>
        <v/>
      </c>
    </row>
    <row r="29">
      <c r="A29" s="52" t="n"/>
      <c r="B29" s="46">
        <f>IFERROR(VLOOKUP($A29,'SKU主表'!$A:$M,2,0),"")</f>
        <v/>
      </c>
      <c r="C29" s="61" t="n"/>
      <c r="D29" s="61" t="n"/>
      <c r="E29" s="61" t="n"/>
      <c r="F29" s="61" t="n"/>
      <c r="G29" s="61" t="n"/>
      <c r="H29" s="57">
        <f>IFERROR($D29/$C29,"")</f>
        <v/>
      </c>
      <c r="I29" s="57">
        <f>IFERROR($E29/$D29,"")</f>
        <v/>
      </c>
      <c r="J29" s="57">
        <f>IFERROR($F29/$E29,"")</f>
        <v/>
      </c>
      <c r="K29" s="57">
        <f>IFERROR($G29/$F29,"")</f>
        <v/>
      </c>
      <c r="L29" s="40">
        <f>IF($C29="","",IF($C29&gt;='参数配置'!$B$14,"高流量","低流量"))</f>
        <v/>
      </c>
      <c r="M29" s="40">
        <f>IF($J29="","",IF($J29&gt;='参数配置'!$B$15,"高转化","低转化"))</f>
        <v/>
      </c>
      <c r="N29" s="48">
        <f>IF(OR($L29="",$M29=""),"",$L29&amp;$M29)</f>
        <v/>
      </c>
      <c r="O29" s="6">
        <f>IF($N29="","",IF($N29="高流量高转化","主推：加库存/上活动/扩达人/试投流",IF($N29="高流量低转化","查转化：价格/运费/优惠券/主图/详情/评价/客服",IF($N29="低流量高转化","加曝光：达人/短视频/直播/商城活动+秒杀",IF($N29="低流量低转化","下架或改图改标题重测/放弃","")))))</f>
        <v/>
      </c>
      <c r="P29" s="6">
        <f>IF($K29="","",IF($K29&gt;'参数配置'!$B$16,"⚠️退款率偏高·查质量/尺码/物流",""))</f>
        <v/>
      </c>
    </row>
    <row r="30">
      <c r="A30" s="52" t="n"/>
      <c r="B30" s="46">
        <f>IFERROR(VLOOKUP($A30,'SKU主表'!$A:$M,2,0),"")</f>
        <v/>
      </c>
      <c r="C30" s="61" t="n"/>
      <c r="D30" s="61" t="n"/>
      <c r="E30" s="61" t="n"/>
      <c r="F30" s="61" t="n"/>
      <c r="G30" s="61" t="n"/>
      <c r="H30" s="57">
        <f>IFERROR($D30/$C30,"")</f>
        <v/>
      </c>
      <c r="I30" s="57">
        <f>IFERROR($E30/$D30,"")</f>
        <v/>
      </c>
      <c r="J30" s="57">
        <f>IFERROR($F30/$E30,"")</f>
        <v/>
      </c>
      <c r="K30" s="57">
        <f>IFERROR($G30/$F30,"")</f>
        <v/>
      </c>
      <c r="L30" s="40">
        <f>IF($C30="","",IF($C30&gt;='参数配置'!$B$14,"高流量","低流量"))</f>
        <v/>
      </c>
      <c r="M30" s="40">
        <f>IF($J30="","",IF($J30&gt;='参数配置'!$B$15,"高转化","低转化"))</f>
        <v/>
      </c>
      <c r="N30" s="48">
        <f>IF(OR($L30="",$M30=""),"",$L30&amp;$M30)</f>
        <v/>
      </c>
      <c r="O30" s="6">
        <f>IF($N30="","",IF($N30="高流量高转化","主推：加库存/上活动/扩达人/试投流",IF($N30="高流量低转化","查转化：价格/运费/优惠券/主图/详情/评价/客服",IF($N30="低流量高转化","加曝光：达人/短视频/直播/商城活动+秒杀",IF($N30="低流量低转化","下架或改图改标题重测/放弃","")))))</f>
        <v/>
      </c>
      <c r="P30" s="6">
        <f>IF($K30="","",IF($K30&gt;'参数配置'!$B$16,"⚠️退款率偏高·查质量/尺码/物流",""))</f>
        <v/>
      </c>
    </row>
    <row r="31">
      <c r="A31" s="52" t="n"/>
      <c r="B31" s="46">
        <f>IFERROR(VLOOKUP($A31,'SKU主表'!$A:$M,2,0),"")</f>
        <v/>
      </c>
      <c r="C31" s="61" t="n"/>
      <c r="D31" s="61" t="n"/>
      <c r="E31" s="61" t="n"/>
      <c r="F31" s="61" t="n"/>
      <c r="G31" s="61" t="n"/>
      <c r="H31" s="57">
        <f>IFERROR($D31/$C31,"")</f>
        <v/>
      </c>
      <c r="I31" s="57">
        <f>IFERROR($E31/$D31,"")</f>
        <v/>
      </c>
      <c r="J31" s="57">
        <f>IFERROR($F31/$E31,"")</f>
        <v/>
      </c>
      <c r="K31" s="57">
        <f>IFERROR($G31/$F31,"")</f>
        <v/>
      </c>
      <c r="L31" s="40">
        <f>IF($C31="","",IF($C31&gt;='参数配置'!$B$14,"高流量","低流量"))</f>
        <v/>
      </c>
      <c r="M31" s="40">
        <f>IF($J31="","",IF($J31&gt;='参数配置'!$B$15,"高转化","低转化"))</f>
        <v/>
      </c>
      <c r="N31" s="48">
        <f>IF(OR($L31="",$M31=""),"",$L31&amp;$M31)</f>
        <v/>
      </c>
      <c r="O31" s="6">
        <f>IF($N31="","",IF($N31="高流量高转化","主推：加库存/上活动/扩达人/试投流",IF($N31="高流量低转化","查转化：价格/运费/优惠券/主图/详情/评价/客服",IF($N31="低流量高转化","加曝光：达人/短视频/直播/商城活动+秒杀",IF($N31="低流量低转化","下架或改图改标题重测/放弃","")))))</f>
        <v/>
      </c>
      <c r="P31" s="6">
        <f>IF($K31="","",IF($K31&gt;'参数配置'!$B$16,"⚠️退款率偏高·查质量/尺码/物流",""))</f>
        <v/>
      </c>
    </row>
    <row r="32">
      <c r="A32" s="52" t="n"/>
      <c r="B32" s="46">
        <f>IFERROR(VLOOKUP($A32,'SKU主表'!$A:$M,2,0),"")</f>
        <v/>
      </c>
      <c r="C32" s="61" t="n"/>
      <c r="D32" s="61" t="n"/>
      <c r="E32" s="61" t="n"/>
      <c r="F32" s="61" t="n"/>
      <c r="G32" s="61" t="n"/>
      <c r="H32" s="57">
        <f>IFERROR($D32/$C32,"")</f>
        <v/>
      </c>
      <c r="I32" s="57">
        <f>IFERROR($E32/$D32,"")</f>
        <v/>
      </c>
      <c r="J32" s="57">
        <f>IFERROR($F32/$E32,"")</f>
        <v/>
      </c>
      <c r="K32" s="57">
        <f>IFERROR($G32/$F32,"")</f>
        <v/>
      </c>
      <c r="L32" s="40">
        <f>IF($C32="","",IF($C32&gt;='参数配置'!$B$14,"高流量","低流量"))</f>
        <v/>
      </c>
      <c r="M32" s="40">
        <f>IF($J32="","",IF($J32&gt;='参数配置'!$B$15,"高转化","低转化"))</f>
        <v/>
      </c>
      <c r="N32" s="48">
        <f>IF(OR($L32="",$M32=""),"",$L32&amp;$M32)</f>
        <v/>
      </c>
      <c r="O32" s="6">
        <f>IF($N32="","",IF($N32="高流量高转化","主推：加库存/上活动/扩达人/试投流",IF($N32="高流量低转化","查转化：价格/运费/优惠券/主图/详情/评价/客服",IF($N32="低流量高转化","加曝光：达人/短视频/直播/商城活动+秒杀",IF($N32="低流量低转化","下架或改图改标题重测/放弃","")))))</f>
        <v/>
      </c>
      <c r="P32" s="6">
        <f>IF($K32="","",IF($K32&gt;'参数配置'!$B$16,"⚠️退款率偏高·查质量/尺码/物流",""))</f>
        <v/>
      </c>
    </row>
    <row r="33">
      <c r="A33" s="52" t="n"/>
      <c r="B33" s="46">
        <f>IFERROR(VLOOKUP($A33,'SKU主表'!$A:$M,2,0),"")</f>
        <v/>
      </c>
      <c r="C33" s="61" t="n"/>
      <c r="D33" s="61" t="n"/>
      <c r="E33" s="61" t="n"/>
      <c r="F33" s="61" t="n"/>
      <c r="G33" s="61" t="n"/>
      <c r="H33" s="57">
        <f>IFERROR($D33/$C33,"")</f>
        <v/>
      </c>
      <c r="I33" s="57">
        <f>IFERROR($E33/$D33,"")</f>
        <v/>
      </c>
      <c r="J33" s="57">
        <f>IFERROR($F33/$E33,"")</f>
        <v/>
      </c>
      <c r="K33" s="57">
        <f>IFERROR($G33/$F33,"")</f>
        <v/>
      </c>
      <c r="L33" s="40">
        <f>IF($C33="","",IF($C33&gt;='参数配置'!$B$14,"高流量","低流量"))</f>
        <v/>
      </c>
      <c r="M33" s="40">
        <f>IF($J33="","",IF($J33&gt;='参数配置'!$B$15,"高转化","低转化"))</f>
        <v/>
      </c>
      <c r="N33" s="48">
        <f>IF(OR($L33="",$M33=""),"",$L33&amp;$M33)</f>
        <v/>
      </c>
      <c r="O33" s="6">
        <f>IF($N33="","",IF($N33="高流量高转化","主推：加库存/上活动/扩达人/试投流",IF($N33="高流量低转化","查转化：价格/运费/优惠券/主图/详情/评价/客服",IF($N33="低流量高转化","加曝光：达人/短视频/直播/商城活动+秒杀",IF($N33="低流量低转化","下架或改图改标题重测/放弃","")))))</f>
        <v/>
      </c>
      <c r="P33" s="6">
        <f>IF($K33="","",IF($K33&gt;'参数配置'!$B$16,"⚠️退款率偏高·查质量/尺码/物流",""))</f>
        <v/>
      </c>
    </row>
    <row r="34">
      <c r="A34" s="52" t="n"/>
      <c r="B34" s="46">
        <f>IFERROR(VLOOKUP($A34,'SKU主表'!$A:$M,2,0),"")</f>
        <v/>
      </c>
      <c r="C34" s="61" t="n"/>
      <c r="D34" s="61" t="n"/>
      <c r="E34" s="61" t="n"/>
      <c r="F34" s="61" t="n"/>
      <c r="G34" s="61" t="n"/>
      <c r="H34" s="57">
        <f>IFERROR($D34/$C34,"")</f>
        <v/>
      </c>
      <c r="I34" s="57">
        <f>IFERROR($E34/$D34,"")</f>
        <v/>
      </c>
      <c r="J34" s="57">
        <f>IFERROR($F34/$E34,"")</f>
        <v/>
      </c>
      <c r="K34" s="57">
        <f>IFERROR($G34/$F34,"")</f>
        <v/>
      </c>
      <c r="L34" s="40">
        <f>IF($C34="","",IF($C34&gt;='参数配置'!$B$14,"高流量","低流量"))</f>
        <v/>
      </c>
      <c r="M34" s="40">
        <f>IF($J34="","",IF($J34&gt;='参数配置'!$B$15,"高转化","低转化"))</f>
        <v/>
      </c>
      <c r="N34" s="48">
        <f>IF(OR($L34="",$M34=""),"",$L34&amp;$M34)</f>
        <v/>
      </c>
      <c r="O34" s="6">
        <f>IF($N34="","",IF($N34="高流量高转化","主推：加库存/上活动/扩达人/试投流",IF($N34="高流量低转化","查转化：价格/运费/优惠券/主图/详情/评价/客服",IF($N34="低流量高转化","加曝光：达人/短视频/直播/商城活动+秒杀",IF($N34="低流量低转化","下架或改图改标题重测/放弃","")))))</f>
        <v/>
      </c>
      <c r="P34" s="6">
        <f>IF($K34="","",IF($K34&gt;'参数配置'!$B$16,"⚠️退款率偏高·查质量/尺码/物流",""))</f>
        <v/>
      </c>
    </row>
    <row r="35">
      <c r="A35" s="52" t="n"/>
      <c r="B35" s="46">
        <f>IFERROR(VLOOKUP($A35,'SKU主表'!$A:$M,2,0),"")</f>
        <v/>
      </c>
      <c r="C35" s="61" t="n"/>
      <c r="D35" s="61" t="n"/>
      <c r="E35" s="61" t="n"/>
      <c r="F35" s="61" t="n"/>
      <c r="G35" s="61" t="n"/>
      <c r="H35" s="57">
        <f>IFERROR($D35/$C35,"")</f>
        <v/>
      </c>
      <c r="I35" s="57">
        <f>IFERROR($E35/$D35,"")</f>
        <v/>
      </c>
      <c r="J35" s="57">
        <f>IFERROR($F35/$E35,"")</f>
        <v/>
      </c>
      <c r="K35" s="57">
        <f>IFERROR($G35/$F35,"")</f>
        <v/>
      </c>
      <c r="L35" s="40">
        <f>IF($C35="","",IF($C35&gt;='参数配置'!$B$14,"高流量","低流量"))</f>
        <v/>
      </c>
      <c r="M35" s="40">
        <f>IF($J35="","",IF($J35&gt;='参数配置'!$B$15,"高转化","低转化"))</f>
        <v/>
      </c>
      <c r="N35" s="48">
        <f>IF(OR($L35="",$M35=""),"",$L35&amp;$M35)</f>
        <v/>
      </c>
      <c r="O35" s="6">
        <f>IF($N35="","",IF($N35="高流量高转化","主推：加库存/上活动/扩达人/试投流",IF($N35="高流量低转化","查转化：价格/运费/优惠券/主图/详情/评价/客服",IF($N35="低流量高转化","加曝光：达人/短视频/直播/商城活动+秒杀",IF($N35="低流量低转化","下架或改图改标题重测/放弃","")))))</f>
        <v/>
      </c>
      <c r="P35" s="6">
        <f>IF($K35="","",IF($K35&gt;'参数配置'!$B$16,"⚠️退款率偏高·查质量/尺码/物流",""))</f>
        <v/>
      </c>
    </row>
    <row r="36">
      <c r="A36" s="52" t="n"/>
      <c r="B36" s="46">
        <f>IFERROR(VLOOKUP($A36,'SKU主表'!$A:$M,2,0),"")</f>
        <v/>
      </c>
      <c r="C36" s="61" t="n"/>
      <c r="D36" s="61" t="n"/>
      <c r="E36" s="61" t="n"/>
      <c r="F36" s="61" t="n"/>
      <c r="G36" s="61" t="n"/>
      <c r="H36" s="57">
        <f>IFERROR($D36/$C36,"")</f>
        <v/>
      </c>
      <c r="I36" s="57">
        <f>IFERROR($E36/$D36,"")</f>
        <v/>
      </c>
      <c r="J36" s="57">
        <f>IFERROR($F36/$E36,"")</f>
        <v/>
      </c>
      <c r="K36" s="57">
        <f>IFERROR($G36/$F36,"")</f>
        <v/>
      </c>
      <c r="L36" s="40">
        <f>IF($C36="","",IF($C36&gt;='参数配置'!$B$14,"高流量","低流量"))</f>
        <v/>
      </c>
      <c r="M36" s="40">
        <f>IF($J36="","",IF($J36&gt;='参数配置'!$B$15,"高转化","低转化"))</f>
        <v/>
      </c>
      <c r="N36" s="48">
        <f>IF(OR($L36="",$M36=""),"",$L36&amp;$M36)</f>
        <v/>
      </c>
      <c r="O36" s="6">
        <f>IF($N36="","",IF($N36="高流量高转化","主推：加库存/上活动/扩达人/试投流",IF($N36="高流量低转化","查转化：价格/运费/优惠券/主图/详情/评价/客服",IF($N36="低流量高转化","加曝光：达人/短视频/直播/商城活动+秒杀",IF($N36="低流量低转化","下架或改图改标题重测/放弃","")))))</f>
        <v/>
      </c>
      <c r="P36" s="6">
        <f>IF($K36="","",IF($K36&gt;'参数配置'!$B$16,"⚠️退款率偏高·查质量/尺码/物流",""))</f>
        <v/>
      </c>
    </row>
    <row r="37">
      <c r="A37" s="52" t="n"/>
      <c r="B37" s="46">
        <f>IFERROR(VLOOKUP($A37,'SKU主表'!$A:$M,2,0),"")</f>
        <v/>
      </c>
      <c r="C37" s="61" t="n"/>
      <c r="D37" s="61" t="n"/>
      <c r="E37" s="61" t="n"/>
      <c r="F37" s="61" t="n"/>
      <c r="G37" s="61" t="n"/>
      <c r="H37" s="57">
        <f>IFERROR($D37/$C37,"")</f>
        <v/>
      </c>
      <c r="I37" s="57">
        <f>IFERROR($E37/$D37,"")</f>
        <v/>
      </c>
      <c r="J37" s="57">
        <f>IFERROR($F37/$E37,"")</f>
        <v/>
      </c>
      <c r="K37" s="57">
        <f>IFERROR($G37/$F37,"")</f>
        <v/>
      </c>
      <c r="L37" s="40">
        <f>IF($C37="","",IF($C37&gt;='参数配置'!$B$14,"高流量","低流量"))</f>
        <v/>
      </c>
      <c r="M37" s="40">
        <f>IF($J37="","",IF($J37&gt;='参数配置'!$B$15,"高转化","低转化"))</f>
        <v/>
      </c>
      <c r="N37" s="48">
        <f>IF(OR($L37="",$M37=""),"",$L37&amp;$M37)</f>
        <v/>
      </c>
      <c r="O37" s="6">
        <f>IF($N37="","",IF($N37="高流量高转化","主推：加库存/上活动/扩达人/试投流",IF($N37="高流量低转化","查转化：价格/运费/优惠券/主图/详情/评价/客服",IF($N37="低流量高转化","加曝光：达人/短视频/直播/商城活动+秒杀",IF($N37="低流量低转化","下架或改图改标题重测/放弃","")))))</f>
        <v/>
      </c>
      <c r="P37" s="6">
        <f>IF($K37="","",IF($K37&gt;'参数配置'!$B$16,"⚠️退款率偏高·查质量/尺码/物流",""))</f>
        <v/>
      </c>
    </row>
    <row r="38">
      <c r="A38" s="52" t="n"/>
      <c r="B38" s="46">
        <f>IFERROR(VLOOKUP($A38,'SKU主表'!$A:$M,2,0),"")</f>
        <v/>
      </c>
      <c r="C38" s="61" t="n"/>
      <c r="D38" s="61" t="n"/>
      <c r="E38" s="61" t="n"/>
      <c r="F38" s="61" t="n"/>
      <c r="G38" s="61" t="n"/>
      <c r="H38" s="57">
        <f>IFERROR($D38/$C38,"")</f>
        <v/>
      </c>
      <c r="I38" s="57">
        <f>IFERROR($E38/$D38,"")</f>
        <v/>
      </c>
      <c r="J38" s="57">
        <f>IFERROR($F38/$E38,"")</f>
        <v/>
      </c>
      <c r="K38" s="57">
        <f>IFERROR($G38/$F38,"")</f>
        <v/>
      </c>
      <c r="L38" s="40">
        <f>IF($C38="","",IF($C38&gt;='参数配置'!$B$14,"高流量","低流量"))</f>
        <v/>
      </c>
      <c r="M38" s="40">
        <f>IF($J38="","",IF($J38&gt;='参数配置'!$B$15,"高转化","低转化"))</f>
        <v/>
      </c>
      <c r="N38" s="48">
        <f>IF(OR($L38="",$M38=""),"",$L38&amp;$M38)</f>
        <v/>
      </c>
      <c r="O38" s="6">
        <f>IF($N38="","",IF($N38="高流量高转化","主推：加库存/上活动/扩达人/试投流",IF($N38="高流量低转化","查转化：价格/运费/优惠券/主图/详情/评价/客服",IF($N38="低流量高转化","加曝光：达人/短视频/直播/商城活动+秒杀",IF($N38="低流量低转化","下架或改图改标题重测/放弃","")))))</f>
        <v/>
      </c>
      <c r="P38" s="6">
        <f>IF($K38="","",IF($K38&gt;'参数配置'!$B$16,"⚠️退款率偏高·查质量/尺码/物流",""))</f>
        <v/>
      </c>
    </row>
    <row r="39">
      <c r="A39" s="52" t="n"/>
      <c r="B39" s="46">
        <f>IFERROR(VLOOKUP($A39,'SKU主表'!$A:$M,2,0),"")</f>
        <v/>
      </c>
      <c r="C39" s="61" t="n"/>
      <c r="D39" s="61" t="n"/>
      <c r="E39" s="61" t="n"/>
      <c r="F39" s="61" t="n"/>
      <c r="G39" s="61" t="n"/>
      <c r="H39" s="57">
        <f>IFERROR($D39/$C39,"")</f>
        <v/>
      </c>
      <c r="I39" s="57">
        <f>IFERROR($E39/$D39,"")</f>
        <v/>
      </c>
      <c r="J39" s="57">
        <f>IFERROR($F39/$E39,"")</f>
        <v/>
      </c>
      <c r="K39" s="57">
        <f>IFERROR($G39/$F39,"")</f>
        <v/>
      </c>
      <c r="L39" s="40">
        <f>IF($C39="","",IF($C39&gt;='参数配置'!$B$14,"高流量","低流量"))</f>
        <v/>
      </c>
      <c r="M39" s="40">
        <f>IF($J39="","",IF($J39&gt;='参数配置'!$B$15,"高转化","低转化"))</f>
        <v/>
      </c>
      <c r="N39" s="48">
        <f>IF(OR($L39="",$M39=""),"",$L39&amp;$M39)</f>
        <v/>
      </c>
      <c r="O39" s="6">
        <f>IF($N39="","",IF($N39="高流量高转化","主推：加库存/上活动/扩达人/试投流",IF($N39="高流量低转化","查转化：价格/运费/优惠券/主图/详情/评价/客服",IF($N39="低流量高转化","加曝光：达人/短视频/直播/商城活动+秒杀",IF($N39="低流量低转化","下架或改图改标题重测/放弃","")))))</f>
        <v/>
      </c>
      <c r="P39" s="6">
        <f>IF($K39="","",IF($K39&gt;'参数配置'!$B$16,"⚠️退款率偏高·查质量/尺码/物流",""))</f>
        <v/>
      </c>
    </row>
    <row r="40">
      <c r="A40" s="52" t="n"/>
      <c r="B40" s="46">
        <f>IFERROR(VLOOKUP($A40,'SKU主表'!$A:$M,2,0),"")</f>
        <v/>
      </c>
      <c r="C40" s="61" t="n"/>
      <c r="D40" s="61" t="n"/>
      <c r="E40" s="61" t="n"/>
      <c r="F40" s="61" t="n"/>
      <c r="G40" s="61" t="n"/>
      <c r="H40" s="57">
        <f>IFERROR($D40/$C40,"")</f>
        <v/>
      </c>
      <c r="I40" s="57">
        <f>IFERROR($E40/$D40,"")</f>
        <v/>
      </c>
      <c r="J40" s="57">
        <f>IFERROR($F40/$E40,"")</f>
        <v/>
      </c>
      <c r="K40" s="57">
        <f>IFERROR($G40/$F40,"")</f>
        <v/>
      </c>
      <c r="L40" s="40">
        <f>IF($C40="","",IF($C40&gt;='参数配置'!$B$14,"高流量","低流量"))</f>
        <v/>
      </c>
      <c r="M40" s="40">
        <f>IF($J40="","",IF($J40&gt;='参数配置'!$B$15,"高转化","低转化"))</f>
        <v/>
      </c>
      <c r="N40" s="48">
        <f>IF(OR($L40="",$M40=""),"",$L40&amp;$M40)</f>
        <v/>
      </c>
      <c r="O40" s="6">
        <f>IF($N40="","",IF($N40="高流量高转化","主推：加库存/上活动/扩达人/试投流",IF($N40="高流量低转化","查转化：价格/运费/优惠券/主图/详情/评价/客服",IF($N40="低流量高转化","加曝光：达人/短视频/直播/商城活动+秒杀",IF($N40="低流量低转化","下架或改图改标题重测/放弃","")))))</f>
        <v/>
      </c>
      <c r="P40" s="6">
        <f>IF($K40="","",IF($K40&gt;'参数配置'!$B$16,"⚠️退款率偏高·查质量/尺码/物流",""))</f>
        <v/>
      </c>
    </row>
    <row r="41">
      <c r="A41" s="52" t="n"/>
      <c r="B41" s="46">
        <f>IFERROR(VLOOKUP($A41,'SKU主表'!$A:$M,2,0),"")</f>
        <v/>
      </c>
      <c r="C41" s="61" t="n"/>
      <c r="D41" s="61" t="n"/>
      <c r="E41" s="61" t="n"/>
      <c r="F41" s="61" t="n"/>
      <c r="G41" s="61" t="n"/>
      <c r="H41" s="57">
        <f>IFERROR($D41/$C41,"")</f>
        <v/>
      </c>
      <c r="I41" s="57">
        <f>IFERROR($E41/$D41,"")</f>
        <v/>
      </c>
      <c r="J41" s="57">
        <f>IFERROR($F41/$E41,"")</f>
        <v/>
      </c>
      <c r="K41" s="57">
        <f>IFERROR($G41/$F41,"")</f>
        <v/>
      </c>
      <c r="L41" s="40">
        <f>IF($C41="","",IF($C41&gt;='参数配置'!$B$14,"高流量","低流量"))</f>
        <v/>
      </c>
      <c r="M41" s="40">
        <f>IF($J41="","",IF($J41&gt;='参数配置'!$B$15,"高转化","低转化"))</f>
        <v/>
      </c>
      <c r="N41" s="48">
        <f>IF(OR($L41="",$M41=""),"",$L41&amp;$M41)</f>
        <v/>
      </c>
      <c r="O41" s="6">
        <f>IF($N41="","",IF($N41="高流量高转化","主推：加库存/上活动/扩达人/试投流",IF($N41="高流量低转化","查转化：价格/运费/优惠券/主图/详情/评价/客服",IF($N41="低流量高转化","加曝光：达人/短视频/直播/商城活动+秒杀",IF($N41="低流量低转化","下架或改图改标题重测/放弃","")))))</f>
        <v/>
      </c>
      <c r="P41" s="6">
        <f>IF($K41="","",IF($K41&gt;'参数配置'!$B$16,"⚠️退款率偏高·查质量/尺码/物流",""))</f>
        <v/>
      </c>
    </row>
    <row r="42">
      <c r="A42" s="52" t="n"/>
      <c r="B42" s="46">
        <f>IFERROR(VLOOKUP($A42,'SKU主表'!$A:$M,2,0),"")</f>
        <v/>
      </c>
      <c r="C42" s="61" t="n"/>
      <c r="D42" s="61" t="n"/>
      <c r="E42" s="61" t="n"/>
      <c r="F42" s="61" t="n"/>
      <c r="G42" s="61" t="n"/>
      <c r="H42" s="57">
        <f>IFERROR($D42/$C42,"")</f>
        <v/>
      </c>
      <c r="I42" s="57">
        <f>IFERROR($E42/$D42,"")</f>
        <v/>
      </c>
      <c r="J42" s="57">
        <f>IFERROR($F42/$E42,"")</f>
        <v/>
      </c>
      <c r="K42" s="57">
        <f>IFERROR($G42/$F42,"")</f>
        <v/>
      </c>
      <c r="L42" s="40">
        <f>IF($C42="","",IF($C42&gt;='参数配置'!$B$14,"高流量","低流量"))</f>
        <v/>
      </c>
      <c r="M42" s="40">
        <f>IF($J42="","",IF($J42&gt;='参数配置'!$B$15,"高转化","低转化"))</f>
        <v/>
      </c>
      <c r="N42" s="48">
        <f>IF(OR($L42="",$M42=""),"",$L42&amp;$M42)</f>
        <v/>
      </c>
      <c r="O42" s="6">
        <f>IF($N42="","",IF($N42="高流量高转化","主推：加库存/上活动/扩达人/试投流",IF($N42="高流量低转化","查转化：价格/运费/优惠券/主图/详情/评价/客服",IF($N42="低流量高转化","加曝光：达人/短视频/直播/商城活动+秒杀",IF($N42="低流量低转化","下架或改图改标题重测/放弃","")))))</f>
        <v/>
      </c>
      <c r="P42" s="6">
        <f>IF($K42="","",IF($K42&gt;'参数配置'!$B$16,"⚠️退款率偏高·查质量/尺码/物流",""))</f>
        <v/>
      </c>
    </row>
    <row r="43">
      <c r="A43" s="52" t="n"/>
      <c r="B43" s="46">
        <f>IFERROR(VLOOKUP($A43,'SKU主表'!$A:$M,2,0),"")</f>
        <v/>
      </c>
      <c r="C43" s="61" t="n"/>
      <c r="D43" s="61" t="n"/>
      <c r="E43" s="61" t="n"/>
      <c r="F43" s="61" t="n"/>
      <c r="G43" s="61" t="n"/>
      <c r="H43" s="57">
        <f>IFERROR($D43/$C43,"")</f>
        <v/>
      </c>
      <c r="I43" s="57">
        <f>IFERROR($E43/$D43,"")</f>
        <v/>
      </c>
      <c r="J43" s="57">
        <f>IFERROR($F43/$E43,"")</f>
        <v/>
      </c>
      <c r="K43" s="57">
        <f>IFERROR($G43/$F43,"")</f>
        <v/>
      </c>
      <c r="L43" s="40">
        <f>IF($C43="","",IF($C43&gt;='参数配置'!$B$14,"高流量","低流量"))</f>
        <v/>
      </c>
      <c r="M43" s="40">
        <f>IF($J43="","",IF($J43&gt;='参数配置'!$B$15,"高转化","低转化"))</f>
        <v/>
      </c>
      <c r="N43" s="48">
        <f>IF(OR($L43="",$M43=""),"",$L43&amp;$M43)</f>
        <v/>
      </c>
      <c r="O43" s="6">
        <f>IF($N43="","",IF($N43="高流量高转化","主推：加库存/上活动/扩达人/试投流",IF($N43="高流量低转化","查转化：价格/运费/优惠券/主图/详情/评价/客服",IF($N43="低流量高转化","加曝光：达人/短视频/直播/商城活动+秒杀",IF($N43="低流量低转化","下架或改图改标题重测/放弃","")))))</f>
        <v/>
      </c>
      <c r="P43" s="6">
        <f>IF($K43="","",IF($K43&gt;'参数配置'!$B$16,"⚠️退款率偏高·查质量/尺码/物流",""))</f>
        <v/>
      </c>
    </row>
    <row r="44">
      <c r="A44" s="52" t="n"/>
      <c r="B44" s="46">
        <f>IFERROR(VLOOKUP($A44,'SKU主表'!$A:$M,2,0),"")</f>
        <v/>
      </c>
      <c r="C44" s="61" t="n"/>
      <c r="D44" s="61" t="n"/>
      <c r="E44" s="61" t="n"/>
      <c r="F44" s="61" t="n"/>
      <c r="G44" s="61" t="n"/>
      <c r="H44" s="57">
        <f>IFERROR($D44/$C44,"")</f>
        <v/>
      </c>
      <c r="I44" s="57">
        <f>IFERROR($E44/$D44,"")</f>
        <v/>
      </c>
      <c r="J44" s="57">
        <f>IFERROR($F44/$E44,"")</f>
        <v/>
      </c>
      <c r="K44" s="57">
        <f>IFERROR($G44/$F44,"")</f>
        <v/>
      </c>
      <c r="L44" s="40">
        <f>IF($C44="","",IF($C44&gt;='参数配置'!$B$14,"高流量","低流量"))</f>
        <v/>
      </c>
      <c r="M44" s="40">
        <f>IF($J44="","",IF($J44&gt;='参数配置'!$B$15,"高转化","低转化"))</f>
        <v/>
      </c>
      <c r="N44" s="48">
        <f>IF(OR($L44="",$M44=""),"",$L44&amp;$M44)</f>
        <v/>
      </c>
      <c r="O44" s="6">
        <f>IF($N44="","",IF($N44="高流量高转化","主推：加库存/上活动/扩达人/试投流",IF($N44="高流量低转化","查转化：价格/运费/优惠券/主图/详情/评价/客服",IF($N44="低流量高转化","加曝光：达人/短视频/直播/商城活动+秒杀",IF($N44="低流量低转化","下架或改图改标题重测/放弃","")))))</f>
        <v/>
      </c>
      <c r="P44" s="6">
        <f>IF($K44="","",IF($K44&gt;'参数配置'!$B$16,"⚠️退款率偏高·查质量/尺码/物流",""))</f>
        <v/>
      </c>
    </row>
    <row r="45">
      <c r="A45" s="52" t="n"/>
      <c r="B45" s="46">
        <f>IFERROR(VLOOKUP($A45,'SKU主表'!$A:$M,2,0),"")</f>
        <v/>
      </c>
      <c r="C45" s="61" t="n"/>
      <c r="D45" s="61" t="n"/>
      <c r="E45" s="61" t="n"/>
      <c r="F45" s="61" t="n"/>
      <c r="G45" s="61" t="n"/>
      <c r="H45" s="57">
        <f>IFERROR($D45/$C45,"")</f>
        <v/>
      </c>
      <c r="I45" s="57">
        <f>IFERROR($E45/$D45,"")</f>
        <v/>
      </c>
      <c r="J45" s="57">
        <f>IFERROR($F45/$E45,"")</f>
        <v/>
      </c>
      <c r="K45" s="57">
        <f>IFERROR($G45/$F45,"")</f>
        <v/>
      </c>
      <c r="L45" s="40">
        <f>IF($C45="","",IF($C45&gt;='参数配置'!$B$14,"高流量","低流量"))</f>
        <v/>
      </c>
      <c r="M45" s="40">
        <f>IF($J45="","",IF($J45&gt;='参数配置'!$B$15,"高转化","低转化"))</f>
        <v/>
      </c>
      <c r="N45" s="48">
        <f>IF(OR($L45="",$M45=""),"",$L45&amp;$M45)</f>
        <v/>
      </c>
      <c r="O45" s="6">
        <f>IF($N45="","",IF($N45="高流量高转化","主推：加库存/上活动/扩达人/试投流",IF($N45="高流量低转化","查转化：价格/运费/优惠券/主图/详情/评价/客服",IF($N45="低流量高转化","加曝光：达人/短视频/直播/商城活动+秒杀",IF($N45="低流量低转化","下架或改图改标题重测/放弃","")))))</f>
        <v/>
      </c>
      <c r="P45" s="6">
        <f>IF($K45="","",IF($K45&gt;'参数配置'!$B$16,"⚠️退款率偏高·查质量/尺码/物流",""))</f>
        <v/>
      </c>
    </row>
    <row r="46">
      <c r="A46" s="52" t="n"/>
      <c r="B46" s="46">
        <f>IFERROR(VLOOKUP($A46,'SKU主表'!$A:$M,2,0),"")</f>
        <v/>
      </c>
      <c r="C46" s="61" t="n"/>
      <c r="D46" s="61" t="n"/>
      <c r="E46" s="61" t="n"/>
      <c r="F46" s="61" t="n"/>
      <c r="G46" s="61" t="n"/>
      <c r="H46" s="57">
        <f>IFERROR($D46/$C46,"")</f>
        <v/>
      </c>
      <c r="I46" s="57">
        <f>IFERROR($E46/$D46,"")</f>
        <v/>
      </c>
      <c r="J46" s="57">
        <f>IFERROR($F46/$E46,"")</f>
        <v/>
      </c>
      <c r="K46" s="57">
        <f>IFERROR($G46/$F46,"")</f>
        <v/>
      </c>
      <c r="L46" s="40">
        <f>IF($C46="","",IF($C46&gt;='参数配置'!$B$14,"高流量","低流量"))</f>
        <v/>
      </c>
      <c r="M46" s="40">
        <f>IF($J46="","",IF($J46&gt;='参数配置'!$B$15,"高转化","低转化"))</f>
        <v/>
      </c>
      <c r="N46" s="48">
        <f>IF(OR($L46="",$M46=""),"",$L46&amp;$M46)</f>
        <v/>
      </c>
      <c r="O46" s="6">
        <f>IF($N46="","",IF($N46="高流量高转化","主推：加库存/上活动/扩达人/试投流",IF($N46="高流量低转化","查转化：价格/运费/优惠券/主图/详情/评价/客服",IF($N46="低流量高转化","加曝光：达人/短视频/直播/商城活动+秒杀",IF($N46="低流量低转化","下架或改图改标题重测/放弃","")))))</f>
        <v/>
      </c>
      <c r="P46" s="6">
        <f>IF($K46="","",IF($K46&gt;'参数配置'!$B$16,"⚠️退款率偏高·查质量/尺码/物流",""))</f>
        <v/>
      </c>
    </row>
    <row r="47">
      <c r="A47" s="52" t="n"/>
      <c r="B47" s="46">
        <f>IFERROR(VLOOKUP($A47,'SKU主表'!$A:$M,2,0),"")</f>
        <v/>
      </c>
      <c r="C47" s="61" t="n"/>
      <c r="D47" s="61" t="n"/>
      <c r="E47" s="61" t="n"/>
      <c r="F47" s="61" t="n"/>
      <c r="G47" s="61" t="n"/>
      <c r="H47" s="57">
        <f>IFERROR($D47/$C47,"")</f>
        <v/>
      </c>
      <c r="I47" s="57">
        <f>IFERROR($E47/$D47,"")</f>
        <v/>
      </c>
      <c r="J47" s="57">
        <f>IFERROR($F47/$E47,"")</f>
        <v/>
      </c>
      <c r="K47" s="57">
        <f>IFERROR($G47/$F47,"")</f>
        <v/>
      </c>
      <c r="L47" s="40">
        <f>IF($C47="","",IF($C47&gt;='参数配置'!$B$14,"高流量","低流量"))</f>
        <v/>
      </c>
      <c r="M47" s="40">
        <f>IF($J47="","",IF($J47&gt;='参数配置'!$B$15,"高转化","低转化"))</f>
        <v/>
      </c>
      <c r="N47" s="48">
        <f>IF(OR($L47="",$M47=""),"",$L47&amp;$M47)</f>
        <v/>
      </c>
      <c r="O47" s="6">
        <f>IF($N47="","",IF($N47="高流量高转化","主推：加库存/上活动/扩达人/试投流",IF($N47="高流量低转化","查转化：价格/运费/优惠券/主图/详情/评价/客服",IF($N47="低流量高转化","加曝光：达人/短视频/直播/商城活动+秒杀",IF($N47="低流量低转化","下架或改图改标题重测/放弃","")))))</f>
        <v/>
      </c>
      <c r="P47" s="6">
        <f>IF($K47="","",IF($K47&gt;'参数配置'!$B$16,"⚠️退款率偏高·查质量/尺码/物流",""))</f>
        <v/>
      </c>
    </row>
    <row r="48">
      <c r="A48" s="52" t="n"/>
      <c r="B48" s="46">
        <f>IFERROR(VLOOKUP($A48,'SKU主表'!$A:$M,2,0),"")</f>
        <v/>
      </c>
      <c r="C48" s="61" t="n"/>
      <c r="D48" s="61" t="n"/>
      <c r="E48" s="61" t="n"/>
      <c r="F48" s="61" t="n"/>
      <c r="G48" s="61" t="n"/>
      <c r="H48" s="57">
        <f>IFERROR($D48/$C48,"")</f>
        <v/>
      </c>
      <c r="I48" s="57">
        <f>IFERROR($E48/$D48,"")</f>
        <v/>
      </c>
      <c r="J48" s="57">
        <f>IFERROR($F48/$E48,"")</f>
        <v/>
      </c>
      <c r="K48" s="57">
        <f>IFERROR($G48/$F48,"")</f>
        <v/>
      </c>
      <c r="L48" s="40">
        <f>IF($C48="","",IF($C48&gt;='参数配置'!$B$14,"高流量","低流量"))</f>
        <v/>
      </c>
      <c r="M48" s="40">
        <f>IF($J48="","",IF($J48&gt;='参数配置'!$B$15,"高转化","低转化"))</f>
        <v/>
      </c>
      <c r="N48" s="48">
        <f>IF(OR($L48="",$M48=""),"",$L48&amp;$M48)</f>
        <v/>
      </c>
      <c r="O48" s="6">
        <f>IF($N48="","",IF($N48="高流量高转化","主推：加库存/上活动/扩达人/试投流",IF($N48="高流量低转化","查转化：价格/运费/优惠券/主图/详情/评价/客服",IF($N48="低流量高转化","加曝光：达人/短视频/直播/商城活动+秒杀",IF($N48="低流量低转化","下架或改图改标题重测/放弃","")))))</f>
        <v/>
      </c>
      <c r="P48" s="6">
        <f>IF($K48="","",IF($K48&gt;'参数配置'!$B$16,"⚠️退款率偏高·查质量/尺码/物流",""))</f>
        <v/>
      </c>
    </row>
    <row r="49">
      <c r="A49" s="52" t="n"/>
      <c r="B49" s="46">
        <f>IFERROR(VLOOKUP($A49,'SKU主表'!$A:$M,2,0),"")</f>
        <v/>
      </c>
      <c r="C49" s="61" t="n"/>
      <c r="D49" s="61" t="n"/>
      <c r="E49" s="61" t="n"/>
      <c r="F49" s="61" t="n"/>
      <c r="G49" s="61" t="n"/>
      <c r="H49" s="57">
        <f>IFERROR($D49/$C49,"")</f>
        <v/>
      </c>
      <c r="I49" s="57">
        <f>IFERROR($E49/$D49,"")</f>
        <v/>
      </c>
      <c r="J49" s="57">
        <f>IFERROR($F49/$E49,"")</f>
        <v/>
      </c>
      <c r="K49" s="57">
        <f>IFERROR($G49/$F49,"")</f>
        <v/>
      </c>
      <c r="L49" s="40">
        <f>IF($C49="","",IF($C49&gt;='参数配置'!$B$14,"高流量","低流量"))</f>
        <v/>
      </c>
      <c r="M49" s="40">
        <f>IF($J49="","",IF($J49&gt;='参数配置'!$B$15,"高转化","低转化"))</f>
        <v/>
      </c>
      <c r="N49" s="48">
        <f>IF(OR($L49="",$M49=""),"",$L49&amp;$M49)</f>
        <v/>
      </c>
      <c r="O49" s="6">
        <f>IF($N49="","",IF($N49="高流量高转化","主推：加库存/上活动/扩达人/试投流",IF($N49="高流量低转化","查转化：价格/运费/优惠券/主图/详情/评价/客服",IF($N49="低流量高转化","加曝光：达人/短视频/直播/商城活动+秒杀",IF($N49="低流量低转化","下架或改图改标题重测/放弃","")))))</f>
        <v/>
      </c>
      <c r="P49" s="6">
        <f>IF($K49="","",IF($K49&gt;'参数配置'!$B$16,"⚠️退款率偏高·查质量/尺码/物流",""))</f>
        <v/>
      </c>
    </row>
    <row r="50">
      <c r="A50" s="52" t="n"/>
      <c r="B50" s="46">
        <f>IFERROR(VLOOKUP($A50,'SKU主表'!$A:$M,2,0),"")</f>
        <v/>
      </c>
      <c r="C50" s="61" t="n"/>
      <c r="D50" s="61" t="n"/>
      <c r="E50" s="61" t="n"/>
      <c r="F50" s="61" t="n"/>
      <c r="G50" s="61" t="n"/>
      <c r="H50" s="57">
        <f>IFERROR($D50/$C50,"")</f>
        <v/>
      </c>
      <c r="I50" s="57">
        <f>IFERROR($E50/$D50,"")</f>
        <v/>
      </c>
      <c r="J50" s="57">
        <f>IFERROR($F50/$E50,"")</f>
        <v/>
      </c>
      <c r="K50" s="57">
        <f>IFERROR($G50/$F50,"")</f>
        <v/>
      </c>
      <c r="L50" s="40">
        <f>IF($C50="","",IF($C50&gt;='参数配置'!$B$14,"高流量","低流量"))</f>
        <v/>
      </c>
      <c r="M50" s="40">
        <f>IF($J50="","",IF($J50&gt;='参数配置'!$B$15,"高转化","低转化"))</f>
        <v/>
      </c>
      <c r="N50" s="48">
        <f>IF(OR($L50="",$M50=""),"",$L50&amp;$M50)</f>
        <v/>
      </c>
      <c r="O50" s="6">
        <f>IF($N50="","",IF($N50="高流量高转化","主推：加库存/上活动/扩达人/试投流",IF($N50="高流量低转化","查转化：价格/运费/优惠券/主图/详情/评价/客服",IF($N50="低流量高转化","加曝光：达人/短视频/直播/商城活动+秒杀",IF($N50="低流量低转化","下架或改图改标题重测/放弃","")))))</f>
        <v/>
      </c>
      <c r="P50" s="6">
        <f>IF($K50="","",IF($K50&gt;'参数配置'!$B$16,"⚠️退款率偏高·查质量/尺码/物流",""))</f>
        <v/>
      </c>
    </row>
    <row r="51">
      <c r="A51" s="52" t="n"/>
      <c r="B51" s="46">
        <f>IFERROR(VLOOKUP($A51,'SKU主表'!$A:$M,2,0),"")</f>
        <v/>
      </c>
      <c r="C51" s="61" t="n"/>
      <c r="D51" s="61" t="n"/>
      <c r="E51" s="61" t="n"/>
      <c r="F51" s="61" t="n"/>
      <c r="G51" s="61" t="n"/>
      <c r="H51" s="57">
        <f>IFERROR($D51/$C51,"")</f>
        <v/>
      </c>
      <c r="I51" s="57">
        <f>IFERROR($E51/$D51,"")</f>
        <v/>
      </c>
      <c r="J51" s="57">
        <f>IFERROR($F51/$E51,"")</f>
        <v/>
      </c>
      <c r="K51" s="57">
        <f>IFERROR($G51/$F51,"")</f>
        <v/>
      </c>
      <c r="L51" s="40">
        <f>IF($C51="","",IF($C51&gt;='参数配置'!$B$14,"高流量","低流量"))</f>
        <v/>
      </c>
      <c r="M51" s="40">
        <f>IF($J51="","",IF($J51&gt;='参数配置'!$B$15,"高转化","低转化"))</f>
        <v/>
      </c>
      <c r="N51" s="48">
        <f>IF(OR($L51="",$M51=""),"",$L51&amp;$M51)</f>
        <v/>
      </c>
      <c r="O51" s="6">
        <f>IF($N51="","",IF($N51="高流量高转化","主推：加库存/上活动/扩达人/试投流",IF($N51="高流量低转化","查转化：价格/运费/优惠券/主图/详情/评价/客服",IF($N51="低流量高转化","加曝光：达人/短视频/直播/商城活动+秒杀",IF($N51="低流量低转化","下架或改图改标题重测/放弃","")))))</f>
        <v/>
      </c>
      <c r="P51" s="6">
        <f>IF($K51="","",IF($K51&gt;'参数配置'!$B$16,"⚠️退款率偏高·查质量/尺码/物流",""))</f>
        <v/>
      </c>
    </row>
    <row r="52">
      <c r="A52" s="52" t="n"/>
      <c r="B52" s="46">
        <f>IFERROR(VLOOKUP($A52,'SKU主表'!$A:$M,2,0),"")</f>
        <v/>
      </c>
      <c r="C52" s="61" t="n"/>
      <c r="D52" s="61" t="n"/>
      <c r="E52" s="61" t="n"/>
      <c r="F52" s="61" t="n"/>
      <c r="G52" s="61" t="n"/>
      <c r="H52" s="57">
        <f>IFERROR($D52/$C52,"")</f>
        <v/>
      </c>
      <c r="I52" s="57">
        <f>IFERROR($E52/$D52,"")</f>
        <v/>
      </c>
      <c r="J52" s="57">
        <f>IFERROR($F52/$E52,"")</f>
        <v/>
      </c>
      <c r="K52" s="57">
        <f>IFERROR($G52/$F52,"")</f>
        <v/>
      </c>
      <c r="L52" s="40">
        <f>IF($C52="","",IF($C52&gt;='参数配置'!$B$14,"高流量","低流量"))</f>
        <v/>
      </c>
      <c r="M52" s="40">
        <f>IF($J52="","",IF($J52&gt;='参数配置'!$B$15,"高转化","低转化"))</f>
        <v/>
      </c>
      <c r="N52" s="48">
        <f>IF(OR($L52="",$M52=""),"",$L52&amp;$M52)</f>
        <v/>
      </c>
      <c r="O52" s="6">
        <f>IF($N52="","",IF($N52="高流量高转化","主推：加库存/上活动/扩达人/试投流",IF($N52="高流量低转化","查转化：价格/运费/优惠券/主图/详情/评价/客服",IF($N52="低流量高转化","加曝光：达人/短视频/直播/商城活动+秒杀",IF($N52="低流量低转化","下架或改图改标题重测/放弃","")))))</f>
        <v/>
      </c>
      <c r="P52" s="6">
        <f>IF($K52="","",IF($K52&gt;'参数配置'!$B$16,"⚠️退款率偏高·查质量/尺码/物流",""))</f>
        <v/>
      </c>
    </row>
    <row r="53">
      <c r="A53" s="52" t="n"/>
      <c r="B53" s="46">
        <f>IFERROR(VLOOKUP($A53,'SKU主表'!$A:$M,2,0),"")</f>
        <v/>
      </c>
      <c r="C53" s="61" t="n"/>
      <c r="D53" s="61" t="n"/>
      <c r="E53" s="61" t="n"/>
      <c r="F53" s="61" t="n"/>
      <c r="G53" s="61" t="n"/>
      <c r="H53" s="57">
        <f>IFERROR($D53/$C53,"")</f>
        <v/>
      </c>
      <c r="I53" s="57">
        <f>IFERROR($E53/$D53,"")</f>
        <v/>
      </c>
      <c r="J53" s="57">
        <f>IFERROR($F53/$E53,"")</f>
        <v/>
      </c>
      <c r="K53" s="57">
        <f>IFERROR($G53/$F53,"")</f>
        <v/>
      </c>
      <c r="L53" s="40">
        <f>IF($C53="","",IF($C53&gt;='参数配置'!$B$14,"高流量","低流量"))</f>
        <v/>
      </c>
      <c r="M53" s="40">
        <f>IF($J53="","",IF($J53&gt;='参数配置'!$B$15,"高转化","低转化"))</f>
        <v/>
      </c>
      <c r="N53" s="48">
        <f>IF(OR($L53="",$M53=""),"",$L53&amp;$M53)</f>
        <v/>
      </c>
      <c r="O53" s="6">
        <f>IF($N53="","",IF($N53="高流量高转化","主推：加库存/上活动/扩达人/试投流",IF($N53="高流量低转化","查转化：价格/运费/优惠券/主图/详情/评价/客服",IF($N53="低流量高转化","加曝光：达人/短视频/直播/商城活动+秒杀",IF($N53="低流量低转化","下架或改图改标题重测/放弃","")))))</f>
        <v/>
      </c>
      <c r="P53" s="6">
        <f>IF($K53="","",IF($K53&gt;'参数配置'!$B$16,"⚠️退款率偏高·查质量/尺码/物流",""))</f>
        <v/>
      </c>
    </row>
    <row r="54">
      <c r="A54" s="52" t="n"/>
      <c r="B54" s="46">
        <f>IFERROR(VLOOKUP($A54,'SKU主表'!$A:$M,2,0),"")</f>
        <v/>
      </c>
      <c r="C54" s="61" t="n"/>
      <c r="D54" s="61" t="n"/>
      <c r="E54" s="61" t="n"/>
      <c r="F54" s="61" t="n"/>
      <c r="G54" s="61" t="n"/>
      <c r="H54" s="57">
        <f>IFERROR($D54/$C54,"")</f>
        <v/>
      </c>
      <c r="I54" s="57">
        <f>IFERROR($E54/$D54,"")</f>
        <v/>
      </c>
      <c r="J54" s="57">
        <f>IFERROR($F54/$E54,"")</f>
        <v/>
      </c>
      <c r="K54" s="57">
        <f>IFERROR($G54/$F54,"")</f>
        <v/>
      </c>
      <c r="L54" s="40">
        <f>IF($C54="","",IF($C54&gt;='参数配置'!$B$14,"高流量","低流量"))</f>
        <v/>
      </c>
      <c r="M54" s="40">
        <f>IF($J54="","",IF($J54&gt;='参数配置'!$B$15,"高转化","低转化"))</f>
        <v/>
      </c>
      <c r="N54" s="48">
        <f>IF(OR($L54="",$M54=""),"",$L54&amp;$M54)</f>
        <v/>
      </c>
      <c r="O54" s="6">
        <f>IF($N54="","",IF($N54="高流量高转化","主推：加库存/上活动/扩达人/试投流",IF($N54="高流量低转化","查转化：价格/运费/优惠券/主图/详情/评价/客服",IF($N54="低流量高转化","加曝光：达人/短视频/直播/商城活动+秒杀",IF($N54="低流量低转化","下架或改图改标题重测/放弃","")))))</f>
        <v/>
      </c>
      <c r="P54" s="6">
        <f>IF($K54="","",IF($K54&gt;'参数配置'!$B$16,"⚠️退款率偏高·查质量/尺码/物流",""))</f>
        <v/>
      </c>
    </row>
    <row r="55">
      <c r="A55" s="52" t="n"/>
      <c r="B55" s="46">
        <f>IFERROR(VLOOKUP($A55,'SKU主表'!$A:$M,2,0),"")</f>
        <v/>
      </c>
      <c r="C55" s="61" t="n"/>
      <c r="D55" s="61" t="n"/>
      <c r="E55" s="61" t="n"/>
      <c r="F55" s="61" t="n"/>
      <c r="G55" s="61" t="n"/>
      <c r="H55" s="57">
        <f>IFERROR($D55/$C55,"")</f>
        <v/>
      </c>
      <c r="I55" s="57">
        <f>IFERROR($E55/$D55,"")</f>
        <v/>
      </c>
      <c r="J55" s="57">
        <f>IFERROR($F55/$E55,"")</f>
        <v/>
      </c>
      <c r="K55" s="57">
        <f>IFERROR($G55/$F55,"")</f>
        <v/>
      </c>
      <c r="L55" s="40">
        <f>IF($C55="","",IF($C55&gt;='参数配置'!$B$14,"高流量","低流量"))</f>
        <v/>
      </c>
      <c r="M55" s="40">
        <f>IF($J55="","",IF($J55&gt;='参数配置'!$B$15,"高转化","低转化"))</f>
        <v/>
      </c>
      <c r="N55" s="48">
        <f>IF(OR($L55="",$M55=""),"",$L55&amp;$M55)</f>
        <v/>
      </c>
      <c r="O55" s="6">
        <f>IF($N55="","",IF($N55="高流量高转化","主推：加库存/上活动/扩达人/试投流",IF($N55="高流量低转化","查转化：价格/运费/优惠券/主图/详情/评价/客服",IF($N55="低流量高转化","加曝光：达人/短视频/直播/商城活动+秒杀",IF($N55="低流量低转化","下架或改图改标题重测/放弃","")))))</f>
        <v/>
      </c>
      <c r="P55" s="6">
        <f>IF($K55="","",IF($K55&gt;'参数配置'!$B$16,"⚠️退款率偏高·查质量/尺码/物流",""))</f>
        <v/>
      </c>
    </row>
    <row r="56">
      <c r="A56" s="52" t="n"/>
      <c r="B56" s="46">
        <f>IFERROR(VLOOKUP($A56,'SKU主表'!$A:$M,2,0),"")</f>
        <v/>
      </c>
      <c r="C56" s="61" t="n"/>
      <c r="D56" s="61" t="n"/>
      <c r="E56" s="61" t="n"/>
      <c r="F56" s="61" t="n"/>
      <c r="G56" s="61" t="n"/>
      <c r="H56" s="57">
        <f>IFERROR($D56/$C56,"")</f>
        <v/>
      </c>
      <c r="I56" s="57">
        <f>IFERROR($E56/$D56,"")</f>
        <v/>
      </c>
      <c r="J56" s="57">
        <f>IFERROR($F56/$E56,"")</f>
        <v/>
      </c>
      <c r="K56" s="57">
        <f>IFERROR($G56/$F56,"")</f>
        <v/>
      </c>
      <c r="L56" s="40">
        <f>IF($C56="","",IF($C56&gt;='参数配置'!$B$14,"高流量","低流量"))</f>
        <v/>
      </c>
      <c r="M56" s="40">
        <f>IF($J56="","",IF($J56&gt;='参数配置'!$B$15,"高转化","低转化"))</f>
        <v/>
      </c>
      <c r="N56" s="48">
        <f>IF(OR($L56="",$M56=""),"",$L56&amp;$M56)</f>
        <v/>
      </c>
      <c r="O56" s="6">
        <f>IF($N56="","",IF($N56="高流量高转化","主推：加库存/上活动/扩达人/试投流",IF($N56="高流量低转化","查转化：价格/运费/优惠券/主图/详情/评价/客服",IF($N56="低流量高转化","加曝光：达人/短视频/直播/商城活动+秒杀",IF($N56="低流量低转化","下架或改图改标题重测/放弃","")))))</f>
        <v/>
      </c>
      <c r="P56" s="6">
        <f>IF($K56="","",IF($K56&gt;'参数配置'!$B$16,"⚠️退款率偏高·查质量/尺码/物流",""))</f>
        <v/>
      </c>
    </row>
    <row r="57">
      <c r="A57" s="52" t="n"/>
      <c r="B57" s="46">
        <f>IFERROR(VLOOKUP($A57,'SKU主表'!$A:$M,2,0),"")</f>
        <v/>
      </c>
      <c r="C57" s="61" t="n"/>
      <c r="D57" s="61" t="n"/>
      <c r="E57" s="61" t="n"/>
      <c r="F57" s="61" t="n"/>
      <c r="G57" s="61" t="n"/>
      <c r="H57" s="57">
        <f>IFERROR($D57/$C57,"")</f>
        <v/>
      </c>
      <c r="I57" s="57">
        <f>IFERROR($E57/$D57,"")</f>
        <v/>
      </c>
      <c r="J57" s="57">
        <f>IFERROR($F57/$E57,"")</f>
        <v/>
      </c>
      <c r="K57" s="57">
        <f>IFERROR($G57/$F57,"")</f>
        <v/>
      </c>
      <c r="L57" s="40">
        <f>IF($C57="","",IF($C57&gt;='参数配置'!$B$14,"高流量","低流量"))</f>
        <v/>
      </c>
      <c r="M57" s="40">
        <f>IF($J57="","",IF($J57&gt;='参数配置'!$B$15,"高转化","低转化"))</f>
        <v/>
      </c>
      <c r="N57" s="48">
        <f>IF(OR($L57="",$M57=""),"",$L57&amp;$M57)</f>
        <v/>
      </c>
      <c r="O57" s="6">
        <f>IF($N57="","",IF($N57="高流量高转化","主推：加库存/上活动/扩达人/试投流",IF($N57="高流量低转化","查转化：价格/运费/优惠券/主图/详情/评价/客服",IF($N57="低流量高转化","加曝光：达人/短视频/直播/商城活动+秒杀",IF($N57="低流量低转化","下架或改图改标题重测/放弃","")))))</f>
        <v/>
      </c>
      <c r="P57" s="6">
        <f>IF($K57="","",IF($K57&gt;'参数配置'!$B$16,"⚠️退款率偏高·查质量/尺码/物流",""))</f>
        <v/>
      </c>
    </row>
    <row r="58">
      <c r="A58" s="52" t="n"/>
      <c r="B58" s="46">
        <f>IFERROR(VLOOKUP($A58,'SKU主表'!$A:$M,2,0),"")</f>
        <v/>
      </c>
      <c r="C58" s="61" t="n"/>
      <c r="D58" s="61" t="n"/>
      <c r="E58" s="61" t="n"/>
      <c r="F58" s="61" t="n"/>
      <c r="G58" s="61" t="n"/>
      <c r="H58" s="57">
        <f>IFERROR($D58/$C58,"")</f>
        <v/>
      </c>
      <c r="I58" s="57">
        <f>IFERROR($E58/$D58,"")</f>
        <v/>
      </c>
      <c r="J58" s="57">
        <f>IFERROR($F58/$E58,"")</f>
        <v/>
      </c>
      <c r="K58" s="57">
        <f>IFERROR($G58/$F58,"")</f>
        <v/>
      </c>
      <c r="L58" s="40">
        <f>IF($C58="","",IF($C58&gt;='参数配置'!$B$14,"高流量","低流量"))</f>
        <v/>
      </c>
      <c r="M58" s="40">
        <f>IF($J58="","",IF($J58&gt;='参数配置'!$B$15,"高转化","低转化"))</f>
        <v/>
      </c>
      <c r="N58" s="48">
        <f>IF(OR($L58="",$M58=""),"",$L58&amp;$M58)</f>
        <v/>
      </c>
      <c r="O58" s="6">
        <f>IF($N58="","",IF($N58="高流量高转化","主推：加库存/上活动/扩达人/试投流",IF($N58="高流量低转化","查转化：价格/运费/优惠券/主图/详情/评价/客服",IF($N58="低流量高转化","加曝光：达人/短视频/直播/商城活动+秒杀",IF($N58="低流量低转化","下架或改图改标题重测/放弃","")))))</f>
        <v/>
      </c>
      <c r="P58" s="6">
        <f>IF($K58="","",IF($K58&gt;'参数配置'!$B$16,"⚠️退款率偏高·查质量/尺码/物流",""))</f>
        <v/>
      </c>
    </row>
    <row r="59">
      <c r="A59" s="52" t="n"/>
      <c r="B59" s="46">
        <f>IFERROR(VLOOKUP($A59,'SKU主表'!$A:$M,2,0),"")</f>
        <v/>
      </c>
      <c r="C59" s="61" t="n"/>
      <c r="D59" s="61" t="n"/>
      <c r="E59" s="61" t="n"/>
      <c r="F59" s="61" t="n"/>
      <c r="G59" s="61" t="n"/>
      <c r="H59" s="57">
        <f>IFERROR($D59/$C59,"")</f>
        <v/>
      </c>
      <c r="I59" s="57">
        <f>IFERROR($E59/$D59,"")</f>
        <v/>
      </c>
      <c r="J59" s="57">
        <f>IFERROR($F59/$E59,"")</f>
        <v/>
      </c>
      <c r="K59" s="57">
        <f>IFERROR($G59/$F59,"")</f>
        <v/>
      </c>
      <c r="L59" s="40">
        <f>IF($C59="","",IF($C59&gt;='参数配置'!$B$14,"高流量","低流量"))</f>
        <v/>
      </c>
      <c r="M59" s="40">
        <f>IF($J59="","",IF($J59&gt;='参数配置'!$B$15,"高转化","低转化"))</f>
        <v/>
      </c>
      <c r="N59" s="48">
        <f>IF(OR($L59="",$M59=""),"",$L59&amp;$M59)</f>
        <v/>
      </c>
      <c r="O59" s="6">
        <f>IF($N59="","",IF($N59="高流量高转化","主推：加库存/上活动/扩达人/试投流",IF($N59="高流量低转化","查转化：价格/运费/优惠券/主图/详情/评价/客服",IF($N59="低流量高转化","加曝光：达人/短视频/直播/商城活动+秒杀",IF($N59="低流量低转化","下架或改图改标题重测/放弃","")))))</f>
        <v/>
      </c>
      <c r="P59" s="6">
        <f>IF($K59="","",IF($K59&gt;'参数配置'!$B$16,"⚠️退款率偏高·查质量/尺码/物流",""))</f>
        <v/>
      </c>
    </row>
    <row r="60">
      <c r="A60" s="52" t="n"/>
      <c r="B60" s="46">
        <f>IFERROR(VLOOKUP($A60,'SKU主表'!$A:$M,2,0),"")</f>
        <v/>
      </c>
      <c r="C60" s="61" t="n"/>
      <c r="D60" s="61" t="n"/>
      <c r="E60" s="61" t="n"/>
      <c r="F60" s="61" t="n"/>
      <c r="G60" s="61" t="n"/>
      <c r="H60" s="57">
        <f>IFERROR($D60/$C60,"")</f>
        <v/>
      </c>
      <c r="I60" s="57">
        <f>IFERROR($E60/$D60,"")</f>
        <v/>
      </c>
      <c r="J60" s="57">
        <f>IFERROR($F60/$E60,"")</f>
        <v/>
      </c>
      <c r="K60" s="57">
        <f>IFERROR($G60/$F60,"")</f>
        <v/>
      </c>
      <c r="L60" s="40">
        <f>IF($C60="","",IF($C60&gt;='参数配置'!$B$14,"高流量","低流量"))</f>
        <v/>
      </c>
      <c r="M60" s="40">
        <f>IF($J60="","",IF($J60&gt;='参数配置'!$B$15,"高转化","低转化"))</f>
        <v/>
      </c>
      <c r="N60" s="48">
        <f>IF(OR($L60="",$M60=""),"",$L60&amp;$M60)</f>
        <v/>
      </c>
      <c r="O60" s="6">
        <f>IF($N60="","",IF($N60="高流量高转化","主推：加库存/上活动/扩达人/试投流",IF($N60="高流量低转化","查转化：价格/运费/优惠券/主图/详情/评价/客服",IF($N60="低流量高转化","加曝光：达人/短视频/直播/商城活动+秒杀",IF($N60="低流量低转化","下架或改图改标题重测/放弃","")))))</f>
        <v/>
      </c>
      <c r="P60" s="6">
        <f>IF($K60="","",IF($K60&gt;'参数配置'!$B$16,"⚠️退款率偏高·查质量/尺码/物流",""))</f>
        <v/>
      </c>
    </row>
    <row r="61">
      <c r="A61" s="52" t="n"/>
      <c r="B61" s="46">
        <f>IFERROR(VLOOKUP($A61,'SKU主表'!$A:$M,2,0),"")</f>
        <v/>
      </c>
      <c r="C61" s="61" t="n"/>
      <c r="D61" s="61" t="n"/>
      <c r="E61" s="61" t="n"/>
      <c r="F61" s="61" t="n"/>
      <c r="G61" s="61" t="n"/>
      <c r="H61" s="57">
        <f>IFERROR($D61/$C61,"")</f>
        <v/>
      </c>
      <c r="I61" s="57">
        <f>IFERROR($E61/$D61,"")</f>
        <v/>
      </c>
      <c r="J61" s="57">
        <f>IFERROR($F61/$E61,"")</f>
        <v/>
      </c>
      <c r="K61" s="57">
        <f>IFERROR($G61/$F61,"")</f>
        <v/>
      </c>
      <c r="L61" s="40">
        <f>IF($C61="","",IF($C61&gt;='参数配置'!$B$14,"高流量","低流量"))</f>
        <v/>
      </c>
      <c r="M61" s="40">
        <f>IF($J61="","",IF($J61&gt;='参数配置'!$B$15,"高转化","低转化"))</f>
        <v/>
      </c>
      <c r="N61" s="48">
        <f>IF(OR($L61="",$M61=""),"",$L61&amp;$M61)</f>
        <v/>
      </c>
      <c r="O61" s="6">
        <f>IF($N61="","",IF($N61="高流量高转化","主推：加库存/上活动/扩达人/试投流",IF($N61="高流量低转化","查转化：价格/运费/优惠券/主图/详情/评价/客服",IF($N61="低流量高转化","加曝光：达人/短视频/直播/商城活动+秒杀",IF($N61="低流量低转化","下架或改图改标题重测/放弃","")))))</f>
        <v/>
      </c>
      <c r="P61" s="6">
        <f>IF($K61="","",IF($K61&gt;'参数配置'!$B$16,"⚠️退款率偏高·查质量/尺码/物流",""))</f>
        <v/>
      </c>
    </row>
    <row r="62">
      <c r="A62" s="52" t="n"/>
      <c r="B62" s="46">
        <f>IFERROR(VLOOKUP($A62,'SKU主表'!$A:$M,2,0),"")</f>
        <v/>
      </c>
      <c r="C62" s="61" t="n"/>
      <c r="D62" s="61" t="n"/>
      <c r="E62" s="61" t="n"/>
      <c r="F62" s="61" t="n"/>
      <c r="G62" s="61" t="n"/>
      <c r="H62" s="57">
        <f>IFERROR($D62/$C62,"")</f>
        <v/>
      </c>
      <c r="I62" s="57">
        <f>IFERROR($E62/$D62,"")</f>
        <v/>
      </c>
      <c r="J62" s="57">
        <f>IFERROR($F62/$E62,"")</f>
        <v/>
      </c>
      <c r="K62" s="57">
        <f>IFERROR($G62/$F62,"")</f>
        <v/>
      </c>
      <c r="L62" s="40">
        <f>IF($C62="","",IF($C62&gt;='参数配置'!$B$14,"高流量","低流量"))</f>
        <v/>
      </c>
      <c r="M62" s="40">
        <f>IF($J62="","",IF($J62&gt;='参数配置'!$B$15,"高转化","低转化"))</f>
        <v/>
      </c>
      <c r="N62" s="48">
        <f>IF(OR($L62="",$M62=""),"",$L62&amp;$M62)</f>
        <v/>
      </c>
      <c r="O62" s="6">
        <f>IF($N62="","",IF($N62="高流量高转化","主推：加库存/上活动/扩达人/试投流",IF($N62="高流量低转化","查转化：价格/运费/优惠券/主图/详情/评价/客服",IF($N62="低流量高转化","加曝光：达人/短视频/直播/商城活动+秒杀",IF($N62="低流量低转化","下架或改图改标题重测/放弃","")))))</f>
        <v/>
      </c>
      <c r="P62" s="6">
        <f>IF($K62="","",IF($K62&gt;'参数配置'!$B$16,"⚠️退款率偏高·查质量/尺码/物流",""))</f>
        <v/>
      </c>
    </row>
    <row r="63">
      <c r="A63" s="52" t="n"/>
      <c r="B63" s="46">
        <f>IFERROR(VLOOKUP($A63,'SKU主表'!$A:$M,2,0),"")</f>
        <v/>
      </c>
      <c r="C63" s="61" t="n"/>
      <c r="D63" s="61" t="n"/>
      <c r="E63" s="61" t="n"/>
      <c r="F63" s="61" t="n"/>
      <c r="G63" s="61" t="n"/>
      <c r="H63" s="57">
        <f>IFERROR($D63/$C63,"")</f>
        <v/>
      </c>
      <c r="I63" s="57">
        <f>IFERROR($E63/$D63,"")</f>
        <v/>
      </c>
      <c r="J63" s="57">
        <f>IFERROR($F63/$E63,"")</f>
        <v/>
      </c>
      <c r="K63" s="57">
        <f>IFERROR($G63/$F63,"")</f>
        <v/>
      </c>
      <c r="L63" s="40">
        <f>IF($C63="","",IF($C63&gt;='参数配置'!$B$14,"高流量","低流量"))</f>
        <v/>
      </c>
      <c r="M63" s="40">
        <f>IF($J63="","",IF($J63&gt;='参数配置'!$B$15,"高转化","低转化"))</f>
        <v/>
      </c>
      <c r="N63" s="48">
        <f>IF(OR($L63="",$M63=""),"",$L63&amp;$M63)</f>
        <v/>
      </c>
      <c r="O63" s="6">
        <f>IF($N63="","",IF($N63="高流量高转化","主推：加库存/上活动/扩达人/试投流",IF($N63="高流量低转化","查转化：价格/运费/优惠券/主图/详情/评价/客服",IF($N63="低流量高转化","加曝光：达人/短视频/直播/商城活动+秒杀",IF($N63="低流量低转化","下架或改图改标题重测/放弃","")))))</f>
        <v/>
      </c>
      <c r="P63" s="6">
        <f>IF($K63="","",IF($K63&gt;'参数配置'!$B$16,"⚠️退款率偏高·查质量/尺码/物流",""))</f>
        <v/>
      </c>
    </row>
    <row r="64">
      <c r="A64" s="52" t="n"/>
      <c r="B64" s="46">
        <f>IFERROR(VLOOKUP($A64,'SKU主表'!$A:$M,2,0),"")</f>
        <v/>
      </c>
      <c r="C64" s="61" t="n"/>
      <c r="D64" s="61" t="n"/>
      <c r="E64" s="61" t="n"/>
      <c r="F64" s="61" t="n"/>
      <c r="G64" s="61" t="n"/>
      <c r="H64" s="57">
        <f>IFERROR($D64/$C64,"")</f>
        <v/>
      </c>
      <c r="I64" s="57">
        <f>IFERROR($E64/$D64,"")</f>
        <v/>
      </c>
      <c r="J64" s="57">
        <f>IFERROR($F64/$E64,"")</f>
        <v/>
      </c>
      <c r="K64" s="57">
        <f>IFERROR($G64/$F64,"")</f>
        <v/>
      </c>
      <c r="L64" s="40">
        <f>IF($C64="","",IF($C64&gt;='参数配置'!$B$14,"高流量","低流量"))</f>
        <v/>
      </c>
      <c r="M64" s="40">
        <f>IF($J64="","",IF($J64&gt;='参数配置'!$B$15,"高转化","低转化"))</f>
        <v/>
      </c>
      <c r="N64" s="48">
        <f>IF(OR($L64="",$M64=""),"",$L64&amp;$M64)</f>
        <v/>
      </c>
      <c r="O64" s="6">
        <f>IF($N64="","",IF($N64="高流量高转化","主推：加库存/上活动/扩达人/试投流",IF($N64="高流量低转化","查转化：价格/运费/优惠券/主图/详情/评价/客服",IF($N64="低流量高转化","加曝光：达人/短视频/直播/商城活动+秒杀",IF($N64="低流量低转化","下架或改图改标题重测/放弃","")))))</f>
        <v/>
      </c>
      <c r="P64" s="6">
        <f>IF($K64="","",IF($K64&gt;'参数配置'!$B$16,"⚠️退款率偏高·查质量/尺码/物流",""))</f>
        <v/>
      </c>
    </row>
    <row r="65">
      <c r="A65" s="52" t="n"/>
      <c r="B65" s="46">
        <f>IFERROR(VLOOKUP($A65,'SKU主表'!$A:$M,2,0),"")</f>
        <v/>
      </c>
      <c r="C65" s="61" t="n"/>
      <c r="D65" s="61" t="n"/>
      <c r="E65" s="61" t="n"/>
      <c r="F65" s="61" t="n"/>
      <c r="G65" s="61" t="n"/>
      <c r="H65" s="57">
        <f>IFERROR($D65/$C65,"")</f>
        <v/>
      </c>
      <c r="I65" s="57">
        <f>IFERROR($E65/$D65,"")</f>
        <v/>
      </c>
      <c r="J65" s="57">
        <f>IFERROR($F65/$E65,"")</f>
        <v/>
      </c>
      <c r="K65" s="57">
        <f>IFERROR($G65/$F65,"")</f>
        <v/>
      </c>
      <c r="L65" s="40">
        <f>IF($C65="","",IF($C65&gt;='参数配置'!$B$14,"高流量","低流量"))</f>
        <v/>
      </c>
      <c r="M65" s="40">
        <f>IF($J65="","",IF($J65&gt;='参数配置'!$B$15,"高转化","低转化"))</f>
        <v/>
      </c>
      <c r="N65" s="48">
        <f>IF(OR($L65="",$M65=""),"",$L65&amp;$M65)</f>
        <v/>
      </c>
      <c r="O65" s="6">
        <f>IF($N65="","",IF($N65="高流量高转化","主推：加库存/上活动/扩达人/试投流",IF($N65="高流量低转化","查转化：价格/运费/优惠券/主图/详情/评价/客服",IF($N65="低流量高转化","加曝光：达人/短视频/直播/商城活动+秒杀",IF($N65="低流量低转化","下架或改图改标题重测/放弃","")))))</f>
        <v/>
      </c>
      <c r="P65" s="6">
        <f>IF($K65="","",IF($K65&gt;'参数配置'!$B$16,"⚠️退款率偏高·查质量/尺码/物流",""))</f>
        <v/>
      </c>
    </row>
    <row r="66">
      <c r="A66" s="52" t="n"/>
      <c r="B66" s="46">
        <f>IFERROR(VLOOKUP($A66,'SKU主表'!$A:$M,2,0),"")</f>
        <v/>
      </c>
      <c r="C66" s="61" t="n"/>
      <c r="D66" s="61" t="n"/>
      <c r="E66" s="61" t="n"/>
      <c r="F66" s="61" t="n"/>
      <c r="G66" s="61" t="n"/>
      <c r="H66" s="57">
        <f>IFERROR($D66/$C66,"")</f>
        <v/>
      </c>
      <c r="I66" s="57">
        <f>IFERROR($E66/$D66,"")</f>
        <v/>
      </c>
      <c r="J66" s="57">
        <f>IFERROR($F66/$E66,"")</f>
        <v/>
      </c>
      <c r="K66" s="57">
        <f>IFERROR($G66/$F66,"")</f>
        <v/>
      </c>
      <c r="L66" s="40">
        <f>IF($C66="","",IF($C66&gt;='参数配置'!$B$14,"高流量","低流量"))</f>
        <v/>
      </c>
      <c r="M66" s="40">
        <f>IF($J66="","",IF($J66&gt;='参数配置'!$B$15,"高转化","低转化"))</f>
        <v/>
      </c>
      <c r="N66" s="48">
        <f>IF(OR($L66="",$M66=""),"",$L66&amp;$M66)</f>
        <v/>
      </c>
      <c r="O66" s="6">
        <f>IF($N66="","",IF($N66="高流量高转化","主推：加库存/上活动/扩达人/试投流",IF($N66="高流量低转化","查转化：价格/运费/优惠券/主图/详情/评价/客服",IF($N66="低流量高转化","加曝光：达人/短视频/直播/商城活动+秒杀",IF($N66="低流量低转化","下架或改图改标题重测/放弃","")))))</f>
        <v/>
      </c>
      <c r="P66" s="6">
        <f>IF($K66="","",IF($K66&gt;'参数配置'!$B$16,"⚠️退款率偏高·查质量/尺码/物流",""))</f>
        <v/>
      </c>
    </row>
    <row r="67">
      <c r="A67" s="52" t="n"/>
      <c r="B67" s="46">
        <f>IFERROR(VLOOKUP($A67,'SKU主表'!$A:$M,2,0),"")</f>
        <v/>
      </c>
      <c r="C67" s="61" t="n"/>
      <c r="D67" s="61" t="n"/>
      <c r="E67" s="61" t="n"/>
      <c r="F67" s="61" t="n"/>
      <c r="G67" s="61" t="n"/>
      <c r="H67" s="57">
        <f>IFERROR($D67/$C67,"")</f>
        <v/>
      </c>
      <c r="I67" s="57">
        <f>IFERROR($E67/$D67,"")</f>
        <v/>
      </c>
      <c r="J67" s="57">
        <f>IFERROR($F67/$E67,"")</f>
        <v/>
      </c>
      <c r="K67" s="57">
        <f>IFERROR($G67/$F67,"")</f>
        <v/>
      </c>
      <c r="L67" s="40">
        <f>IF($C67="","",IF($C67&gt;='参数配置'!$B$14,"高流量","低流量"))</f>
        <v/>
      </c>
      <c r="M67" s="40">
        <f>IF($J67="","",IF($J67&gt;='参数配置'!$B$15,"高转化","低转化"))</f>
        <v/>
      </c>
      <c r="N67" s="48">
        <f>IF(OR($L67="",$M67=""),"",$L67&amp;$M67)</f>
        <v/>
      </c>
      <c r="O67" s="6">
        <f>IF($N67="","",IF($N67="高流量高转化","主推：加库存/上活动/扩达人/试投流",IF($N67="高流量低转化","查转化：价格/运费/优惠券/主图/详情/评价/客服",IF($N67="低流量高转化","加曝光：达人/短视频/直播/商城活动+秒杀",IF($N67="低流量低转化","下架或改图改标题重测/放弃","")))))</f>
        <v/>
      </c>
      <c r="P67" s="6">
        <f>IF($K67="","",IF($K67&gt;'参数配置'!$B$16,"⚠️退款率偏高·查质量/尺码/物流",""))</f>
        <v/>
      </c>
    </row>
    <row r="68">
      <c r="A68" s="52" t="n"/>
      <c r="B68" s="46">
        <f>IFERROR(VLOOKUP($A68,'SKU主表'!$A:$M,2,0),"")</f>
        <v/>
      </c>
      <c r="C68" s="61" t="n"/>
      <c r="D68" s="61" t="n"/>
      <c r="E68" s="61" t="n"/>
      <c r="F68" s="61" t="n"/>
      <c r="G68" s="61" t="n"/>
      <c r="H68" s="57">
        <f>IFERROR($D68/$C68,"")</f>
        <v/>
      </c>
      <c r="I68" s="57">
        <f>IFERROR($E68/$D68,"")</f>
        <v/>
      </c>
      <c r="J68" s="57">
        <f>IFERROR($F68/$E68,"")</f>
        <v/>
      </c>
      <c r="K68" s="57">
        <f>IFERROR($G68/$F68,"")</f>
        <v/>
      </c>
      <c r="L68" s="40">
        <f>IF($C68="","",IF($C68&gt;='参数配置'!$B$14,"高流量","低流量"))</f>
        <v/>
      </c>
      <c r="M68" s="40">
        <f>IF($J68="","",IF($J68&gt;='参数配置'!$B$15,"高转化","低转化"))</f>
        <v/>
      </c>
      <c r="N68" s="48">
        <f>IF(OR($L68="",$M68=""),"",$L68&amp;$M68)</f>
        <v/>
      </c>
      <c r="O68" s="6">
        <f>IF($N68="","",IF($N68="高流量高转化","主推：加库存/上活动/扩达人/试投流",IF($N68="高流量低转化","查转化：价格/运费/优惠券/主图/详情/评价/客服",IF($N68="低流量高转化","加曝光：达人/短视频/直播/商城活动+秒杀",IF($N68="低流量低转化","下架或改图改标题重测/放弃","")))))</f>
        <v/>
      </c>
      <c r="P68" s="6">
        <f>IF($K68="","",IF($K68&gt;'参数配置'!$B$16,"⚠️退款率偏高·查质量/尺码/物流",""))</f>
        <v/>
      </c>
    </row>
    <row r="69">
      <c r="A69" s="52" t="n"/>
      <c r="B69" s="46">
        <f>IFERROR(VLOOKUP($A69,'SKU主表'!$A:$M,2,0),"")</f>
        <v/>
      </c>
      <c r="C69" s="61" t="n"/>
      <c r="D69" s="61" t="n"/>
      <c r="E69" s="61" t="n"/>
      <c r="F69" s="61" t="n"/>
      <c r="G69" s="61" t="n"/>
      <c r="H69" s="57">
        <f>IFERROR($D69/$C69,"")</f>
        <v/>
      </c>
      <c r="I69" s="57">
        <f>IFERROR($E69/$D69,"")</f>
        <v/>
      </c>
      <c r="J69" s="57">
        <f>IFERROR($F69/$E69,"")</f>
        <v/>
      </c>
      <c r="K69" s="57">
        <f>IFERROR($G69/$F69,"")</f>
        <v/>
      </c>
      <c r="L69" s="40">
        <f>IF($C69="","",IF($C69&gt;='参数配置'!$B$14,"高流量","低流量"))</f>
        <v/>
      </c>
      <c r="M69" s="40">
        <f>IF($J69="","",IF($J69&gt;='参数配置'!$B$15,"高转化","低转化"))</f>
        <v/>
      </c>
      <c r="N69" s="48">
        <f>IF(OR($L69="",$M69=""),"",$L69&amp;$M69)</f>
        <v/>
      </c>
      <c r="O69" s="6">
        <f>IF($N69="","",IF($N69="高流量高转化","主推：加库存/上活动/扩达人/试投流",IF($N69="高流量低转化","查转化：价格/运费/优惠券/主图/详情/评价/客服",IF($N69="低流量高转化","加曝光：达人/短视频/直播/商城活动+秒杀",IF($N69="低流量低转化","下架或改图改标题重测/放弃","")))))</f>
        <v/>
      </c>
      <c r="P69" s="6">
        <f>IF($K69="","",IF($K69&gt;'参数配置'!$B$16,"⚠️退款率偏高·查质量/尺码/物流",""))</f>
        <v/>
      </c>
    </row>
    <row r="70">
      <c r="A70" s="52" t="n"/>
      <c r="B70" s="46">
        <f>IFERROR(VLOOKUP($A70,'SKU主表'!$A:$M,2,0),"")</f>
        <v/>
      </c>
      <c r="C70" s="61" t="n"/>
      <c r="D70" s="61" t="n"/>
      <c r="E70" s="61" t="n"/>
      <c r="F70" s="61" t="n"/>
      <c r="G70" s="61" t="n"/>
      <c r="H70" s="57">
        <f>IFERROR($D70/$C70,"")</f>
        <v/>
      </c>
      <c r="I70" s="57">
        <f>IFERROR($E70/$D70,"")</f>
        <v/>
      </c>
      <c r="J70" s="57">
        <f>IFERROR($F70/$E70,"")</f>
        <v/>
      </c>
      <c r="K70" s="57">
        <f>IFERROR($G70/$F70,"")</f>
        <v/>
      </c>
      <c r="L70" s="40">
        <f>IF($C70="","",IF($C70&gt;='参数配置'!$B$14,"高流量","低流量"))</f>
        <v/>
      </c>
      <c r="M70" s="40">
        <f>IF($J70="","",IF($J70&gt;='参数配置'!$B$15,"高转化","低转化"))</f>
        <v/>
      </c>
      <c r="N70" s="48">
        <f>IF(OR($L70="",$M70=""),"",$L70&amp;$M70)</f>
        <v/>
      </c>
      <c r="O70" s="6">
        <f>IF($N70="","",IF($N70="高流量高转化","主推：加库存/上活动/扩达人/试投流",IF($N70="高流量低转化","查转化：价格/运费/优惠券/主图/详情/评价/客服",IF($N70="低流量高转化","加曝光：达人/短视频/直播/商城活动+秒杀",IF($N70="低流量低转化","下架或改图改标题重测/放弃","")))))</f>
        <v/>
      </c>
      <c r="P70" s="6">
        <f>IF($K70="","",IF($K70&gt;'参数配置'!$B$16,"⚠️退款率偏高·查质量/尺码/物流",""))</f>
        <v/>
      </c>
    </row>
    <row r="71">
      <c r="A71" s="52" t="n"/>
      <c r="B71" s="46">
        <f>IFERROR(VLOOKUP($A71,'SKU主表'!$A:$M,2,0),"")</f>
        <v/>
      </c>
      <c r="C71" s="61" t="n"/>
      <c r="D71" s="61" t="n"/>
      <c r="E71" s="61" t="n"/>
      <c r="F71" s="61" t="n"/>
      <c r="G71" s="61" t="n"/>
      <c r="H71" s="57">
        <f>IFERROR($D71/$C71,"")</f>
        <v/>
      </c>
      <c r="I71" s="57">
        <f>IFERROR($E71/$D71,"")</f>
        <v/>
      </c>
      <c r="J71" s="57">
        <f>IFERROR($F71/$E71,"")</f>
        <v/>
      </c>
      <c r="K71" s="57">
        <f>IFERROR($G71/$F71,"")</f>
        <v/>
      </c>
      <c r="L71" s="40">
        <f>IF($C71="","",IF($C71&gt;='参数配置'!$B$14,"高流量","低流量"))</f>
        <v/>
      </c>
      <c r="M71" s="40">
        <f>IF($J71="","",IF($J71&gt;='参数配置'!$B$15,"高转化","低转化"))</f>
        <v/>
      </c>
      <c r="N71" s="48">
        <f>IF(OR($L71="",$M71=""),"",$L71&amp;$M71)</f>
        <v/>
      </c>
      <c r="O71" s="6">
        <f>IF($N71="","",IF($N71="高流量高转化","主推：加库存/上活动/扩达人/试投流",IF($N71="高流量低转化","查转化：价格/运费/优惠券/主图/详情/评价/客服",IF($N71="低流量高转化","加曝光：达人/短视频/直播/商城活动+秒杀",IF($N71="低流量低转化","下架或改图改标题重测/放弃","")))))</f>
        <v/>
      </c>
      <c r="P71" s="6">
        <f>IF($K71="","",IF($K71&gt;'参数配置'!$B$16,"⚠️退款率偏高·查质量/尺码/物流",""))</f>
        <v/>
      </c>
    </row>
    <row r="72">
      <c r="A72" s="52" t="n"/>
      <c r="B72" s="46">
        <f>IFERROR(VLOOKUP($A72,'SKU主表'!$A:$M,2,0),"")</f>
        <v/>
      </c>
      <c r="C72" s="61" t="n"/>
      <c r="D72" s="61" t="n"/>
      <c r="E72" s="61" t="n"/>
      <c r="F72" s="61" t="n"/>
      <c r="G72" s="61" t="n"/>
      <c r="H72" s="57">
        <f>IFERROR($D72/$C72,"")</f>
        <v/>
      </c>
      <c r="I72" s="57">
        <f>IFERROR($E72/$D72,"")</f>
        <v/>
      </c>
      <c r="J72" s="57">
        <f>IFERROR($F72/$E72,"")</f>
        <v/>
      </c>
      <c r="K72" s="57">
        <f>IFERROR($G72/$F72,"")</f>
        <v/>
      </c>
      <c r="L72" s="40">
        <f>IF($C72="","",IF($C72&gt;='参数配置'!$B$14,"高流量","低流量"))</f>
        <v/>
      </c>
      <c r="M72" s="40">
        <f>IF($J72="","",IF($J72&gt;='参数配置'!$B$15,"高转化","低转化"))</f>
        <v/>
      </c>
      <c r="N72" s="48">
        <f>IF(OR($L72="",$M72=""),"",$L72&amp;$M72)</f>
        <v/>
      </c>
      <c r="O72" s="6">
        <f>IF($N72="","",IF($N72="高流量高转化","主推：加库存/上活动/扩达人/试投流",IF($N72="高流量低转化","查转化：价格/运费/优惠券/主图/详情/评价/客服",IF($N72="低流量高转化","加曝光：达人/短视频/直播/商城活动+秒杀",IF($N72="低流量低转化","下架或改图改标题重测/放弃","")))))</f>
        <v/>
      </c>
      <c r="P72" s="6">
        <f>IF($K72="","",IF($K72&gt;'参数配置'!$B$16,"⚠️退款率偏高·查质量/尺码/物流",""))</f>
        <v/>
      </c>
    </row>
    <row r="73">
      <c r="A73" s="52" t="n"/>
      <c r="B73" s="46">
        <f>IFERROR(VLOOKUP($A73,'SKU主表'!$A:$M,2,0),"")</f>
        <v/>
      </c>
      <c r="C73" s="61" t="n"/>
      <c r="D73" s="61" t="n"/>
      <c r="E73" s="61" t="n"/>
      <c r="F73" s="61" t="n"/>
      <c r="G73" s="61" t="n"/>
      <c r="H73" s="57">
        <f>IFERROR($D73/$C73,"")</f>
        <v/>
      </c>
      <c r="I73" s="57">
        <f>IFERROR($E73/$D73,"")</f>
        <v/>
      </c>
      <c r="J73" s="57">
        <f>IFERROR($F73/$E73,"")</f>
        <v/>
      </c>
      <c r="K73" s="57">
        <f>IFERROR($G73/$F73,"")</f>
        <v/>
      </c>
      <c r="L73" s="40">
        <f>IF($C73="","",IF($C73&gt;='参数配置'!$B$14,"高流量","低流量"))</f>
        <v/>
      </c>
      <c r="M73" s="40">
        <f>IF($J73="","",IF($J73&gt;='参数配置'!$B$15,"高转化","低转化"))</f>
        <v/>
      </c>
      <c r="N73" s="48">
        <f>IF(OR($L73="",$M73=""),"",$L73&amp;$M73)</f>
        <v/>
      </c>
      <c r="O73" s="6">
        <f>IF($N73="","",IF($N73="高流量高转化","主推：加库存/上活动/扩达人/试投流",IF($N73="高流量低转化","查转化：价格/运费/优惠券/主图/详情/评价/客服",IF($N73="低流量高转化","加曝光：达人/短视频/直播/商城活动+秒杀",IF($N73="低流量低转化","下架或改图改标题重测/放弃","")))))</f>
        <v/>
      </c>
      <c r="P73" s="6">
        <f>IF($K73="","",IF($K73&gt;'参数配置'!$B$16,"⚠️退款率偏高·查质量/尺码/物流",""))</f>
        <v/>
      </c>
    </row>
    <row r="74">
      <c r="A74" s="52" t="n"/>
      <c r="B74" s="46">
        <f>IFERROR(VLOOKUP($A74,'SKU主表'!$A:$M,2,0),"")</f>
        <v/>
      </c>
      <c r="C74" s="61" t="n"/>
      <c r="D74" s="61" t="n"/>
      <c r="E74" s="61" t="n"/>
      <c r="F74" s="61" t="n"/>
      <c r="G74" s="61" t="n"/>
      <c r="H74" s="57">
        <f>IFERROR($D74/$C74,"")</f>
        <v/>
      </c>
      <c r="I74" s="57">
        <f>IFERROR($E74/$D74,"")</f>
        <v/>
      </c>
      <c r="J74" s="57">
        <f>IFERROR($F74/$E74,"")</f>
        <v/>
      </c>
      <c r="K74" s="57">
        <f>IFERROR($G74/$F74,"")</f>
        <v/>
      </c>
      <c r="L74" s="40">
        <f>IF($C74="","",IF($C74&gt;='参数配置'!$B$14,"高流量","低流量"))</f>
        <v/>
      </c>
      <c r="M74" s="40">
        <f>IF($J74="","",IF($J74&gt;='参数配置'!$B$15,"高转化","低转化"))</f>
        <v/>
      </c>
      <c r="N74" s="48">
        <f>IF(OR($L74="",$M74=""),"",$L74&amp;$M74)</f>
        <v/>
      </c>
      <c r="O74" s="6">
        <f>IF($N74="","",IF($N74="高流量高转化","主推：加库存/上活动/扩达人/试投流",IF($N74="高流量低转化","查转化：价格/运费/优惠券/主图/详情/评价/客服",IF($N74="低流量高转化","加曝光：达人/短视频/直播/商城活动+秒杀",IF($N74="低流量低转化","下架或改图改标题重测/放弃","")))))</f>
        <v/>
      </c>
      <c r="P74" s="6">
        <f>IF($K74="","",IF($K74&gt;'参数配置'!$B$16,"⚠️退款率偏高·查质量/尺码/物流",""))</f>
        <v/>
      </c>
    </row>
    <row r="75">
      <c r="A75" s="52" t="n"/>
      <c r="B75" s="46">
        <f>IFERROR(VLOOKUP($A75,'SKU主表'!$A:$M,2,0),"")</f>
        <v/>
      </c>
      <c r="C75" s="61" t="n"/>
      <c r="D75" s="61" t="n"/>
      <c r="E75" s="61" t="n"/>
      <c r="F75" s="61" t="n"/>
      <c r="G75" s="61" t="n"/>
      <c r="H75" s="57">
        <f>IFERROR($D75/$C75,"")</f>
        <v/>
      </c>
      <c r="I75" s="57">
        <f>IFERROR($E75/$D75,"")</f>
        <v/>
      </c>
      <c r="J75" s="57">
        <f>IFERROR($F75/$E75,"")</f>
        <v/>
      </c>
      <c r="K75" s="57">
        <f>IFERROR($G75/$F75,"")</f>
        <v/>
      </c>
      <c r="L75" s="40">
        <f>IF($C75="","",IF($C75&gt;='参数配置'!$B$14,"高流量","低流量"))</f>
        <v/>
      </c>
      <c r="M75" s="40">
        <f>IF($J75="","",IF($J75&gt;='参数配置'!$B$15,"高转化","低转化"))</f>
        <v/>
      </c>
      <c r="N75" s="48">
        <f>IF(OR($L75="",$M75=""),"",$L75&amp;$M75)</f>
        <v/>
      </c>
      <c r="O75" s="6">
        <f>IF($N75="","",IF($N75="高流量高转化","主推：加库存/上活动/扩达人/试投流",IF($N75="高流量低转化","查转化：价格/运费/优惠券/主图/详情/评价/客服",IF($N75="低流量高转化","加曝光：达人/短视频/直播/商城活动+秒杀",IF($N75="低流量低转化","下架或改图改标题重测/放弃","")))))</f>
        <v/>
      </c>
      <c r="P75" s="6">
        <f>IF($K75="","",IF($K75&gt;'参数配置'!$B$16,"⚠️退款率偏高·查质量/尺码/物流",""))</f>
        <v/>
      </c>
    </row>
    <row r="76">
      <c r="A76" s="52" t="n"/>
      <c r="B76" s="46">
        <f>IFERROR(VLOOKUP($A76,'SKU主表'!$A:$M,2,0),"")</f>
        <v/>
      </c>
      <c r="C76" s="61" t="n"/>
      <c r="D76" s="61" t="n"/>
      <c r="E76" s="61" t="n"/>
      <c r="F76" s="61" t="n"/>
      <c r="G76" s="61" t="n"/>
      <c r="H76" s="57">
        <f>IFERROR($D76/$C76,"")</f>
        <v/>
      </c>
      <c r="I76" s="57">
        <f>IFERROR($E76/$D76,"")</f>
        <v/>
      </c>
      <c r="J76" s="57">
        <f>IFERROR($F76/$E76,"")</f>
        <v/>
      </c>
      <c r="K76" s="57">
        <f>IFERROR($G76/$F76,"")</f>
        <v/>
      </c>
      <c r="L76" s="40">
        <f>IF($C76="","",IF($C76&gt;='参数配置'!$B$14,"高流量","低流量"))</f>
        <v/>
      </c>
      <c r="M76" s="40">
        <f>IF($J76="","",IF($J76&gt;='参数配置'!$B$15,"高转化","低转化"))</f>
        <v/>
      </c>
      <c r="N76" s="48">
        <f>IF(OR($L76="",$M76=""),"",$L76&amp;$M76)</f>
        <v/>
      </c>
      <c r="O76" s="6">
        <f>IF($N76="","",IF($N76="高流量高转化","主推：加库存/上活动/扩达人/试投流",IF($N76="高流量低转化","查转化：价格/运费/优惠券/主图/详情/评价/客服",IF($N76="低流量高转化","加曝光：达人/短视频/直播/商城活动+秒杀",IF($N76="低流量低转化","下架或改图改标题重测/放弃","")))))</f>
        <v/>
      </c>
      <c r="P76" s="6">
        <f>IF($K76="","",IF($K76&gt;'参数配置'!$B$16,"⚠️退款率偏高·查质量/尺码/物流",""))</f>
        <v/>
      </c>
    </row>
    <row r="77">
      <c r="A77" s="52" t="n"/>
      <c r="B77" s="46">
        <f>IFERROR(VLOOKUP($A77,'SKU主表'!$A:$M,2,0),"")</f>
        <v/>
      </c>
      <c r="C77" s="61" t="n"/>
      <c r="D77" s="61" t="n"/>
      <c r="E77" s="61" t="n"/>
      <c r="F77" s="61" t="n"/>
      <c r="G77" s="61" t="n"/>
      <c r="H77" s="57">
        <f>IFERROR($D77/$C77,"")</f>
        <v/>
      </c>
      <c r="I77" s="57">
        <f>IFERROR($E77/$D77,"")</f>
        <v/>
      </c>
      <c r="J77" s="57">
        <f>IFERROR($F77/$E77,"")</f>
        <v/>
      </c>
      <c r="K77" s="57">
        <f>IFERROR($G77/$F77,"")</f>
        <v/>
      </c>
      <c r="L77" s="40">
        <f>IF($C77="","",IF($C77&gt;='参数配置'!$B$14,"高流量","低流量"))</f>
        <v/>
      </c>
      <c r="M77" s="40">
        <f>IF($J77="","",IF($J77&gt;='参数配置'!$B$15,"高转化","低转化"))</f>
        <v/>
      </c>
      <c r="N77" s="48">
        <f>IF(OR($L77="",$M77=""),"",$L77&amp;$M77)</f>
        <v/>
      </c>
      <c r="O77" s="6">
        <f>IF($N77="","",IF($N77="高流量高转化","主推：加库存/上活动/扩达人/试投流",IF($N77="高流量低转化","查转化：价格/运费/优惠券/主图/详情/评价/客服",IF($N77="低流量高转化","加曝光：达人/短视频/直播/商城活动+秒杀",IF($N77="低流量低转化","下架或改图改标题重测/放弃","")))))</f>
        <v/>
      </c>
      <c r="P77" s="6">
        <f>IF($K77="","",IF($K77&gt;'参数配置'!$B$16,"⚠️退款率偏高·查质量/尺码/物流",""))</f>
        <v/>
      </c>
    </row>
    <row r="78">
      <c r="A78" s="52" t="n"/>
      <c r="B78" s="46">
        <f>IFERROR(VLOOKUP($A78,'SKU主表'!$A:$M,2,0),"")</f>
        <v/>
      </c>
      <c r="C78" s="61" t="n"/>
      <c r="D78" s="61" t="n"/>
      <c r="E78" s="61" t="n"/>
      <c r="F78" s="61" t="n"/>
      <c r="G78" s="61" t="n"/>
      <c r="H78" s="57">
        <f>IFERROR($D78/$C78,"")</f>
        <v/>
      </c>
      <c r="I78" s="57">
        <f>IFERROR($E78/$D78,"")</f>
        <v/>
      </c>
      <c r="J78" s="57">
        <f>IFERROR($F78/$E78,"")</f>
        <v/>
      </c>
      <c r="K78" s="57">
        <f>IFERROR($G78/$F78,"")</f>
        <v/>
      </c>
      <c r="L78" s="40">
        <f>IF($C78="","",IF($C78&gt;='参数配置'!$B$14,"高流量","低流量"))</f>
        <v/>
      </c>
      <c r="M78" s="40">
        <f>IF($J78="","",IF($J78&gt;='参数配置'!$B$15,"高转化","低转化"))</f>
        <v/>
      </c>
      <c r="N78" s="48">
        <f>IF(OR($L78="",$M78=""),"",$L78&amp;$M78)</f>
        <v/>
      </c>
      <c r="O78" s="6">
        <f>IF($N78="","",IF($N78="高流量高转化","主推：加库存/上活动/扩达人/试投流",IF($N78="高流量低转化","查转化：价格/运费/优惠券/主图/详情/评价/客服",IF($N78="低流量高转化","加曝光：达人/短视频/直播/商城活动+秒杀",IF($N78="低流量低转化","下架或改图改标题重测/放弃","")))))</f>
        <v/>
      </c>
      <c r="P78" s="6">
        <f>IF($K78="","",IF($K78&gt;'参数配置'!$B$16,"⚠️退款率偏高·查质量/尺码/物流",""))</f>
        <v/>
      </c>
    </row>
    <row r="79">
      <c r="A79" s="52" t="n"/>
      <c r="B79" s="46">
        <f>IFERROR(VLOOKUP($A79,'SKU主表'!$A:$M,2,0),"")</f>
        <v/>
      </c>
      <c r="C79" s="61" t="n"/>
      <c r="D79" s="61" t="n"/>
      <c r="E79" s="61" t="n"/>
      <c r="F79" s="61" t="n"/>
      <c r="G79" s="61" t="n"/>
      <c r="H79" s="57">
        <f>IFERROR($D79/$C79,"")</f>
        <v/>
      </c>
      <c r="I79" s="57">
        <f>IFERROR($E79/$D79,"")</f>
        <v/>
      </c>
      <c r="J79" s="57">
        <f>IFERROR($F79/$E79,"")</f>
        <v/>
      </c>
      <c r="K79" s="57">
        <f>IFERROR($G79/$F79,"")</f>
        <v/>
      </c>
      <c r="L79" s="40">
        <f>IF($C79="","",IF($C79&gt;='参数配置'!$B$14,"高流量","低流量"))</f>
        <v/>
      </c>
      <c r="M79" s="40">
        <f>IF($J79="","",IF($J79&gt;='参数配置'!$B$15,"高转化","低转化"))</f>
        <v/>
      </c>
      <c r="N79" s="48">
        <f>IF(OR($L79="",$M79=""),"",$L79&amp;$M79)</f>
        <v/>
      </c>
      <c r="O79" s="6">
        <f>IF($N79="","",IF($N79="高流量高转化","主推：加库存/上活动/扩达人/试投流",IF($N79="高流量低转化","查转化：价格/运费/优惠券/主图/详情/评价/客服",IF($N79="低流量高转化","加曝光：达人/短视频/直播/商城活动+秒杀",IF($N79="低流量低转化","下架或改图改标题重测/放弃","")))))</f>
        <v/>
      </c>
      <c r="P79" s="6">
        <f>IF($K79="","",IF($K79&gt;'参数配置'!$B$16,"⚠️退款率偏高·查质量/尺码/物流",""))</f>
        <v/>
      </c>
    </row>
    <row r="80">
      <c r="A80" s="52" t="n"/>
      <c r="B80" s="46">
        <f>IFERROR(VLOOKUP($A80,'SKU主表'!$A:$M,2,0),"")</f>
        <v/>
      </c>
      <c r="C80" s="61" t="n"/>
      <c r="D80" s="61" t="n"/>
      <c r="E80" s="61" t="n"/>
      <c r="F80" s="61" t="n"/>
      <c r="G80" s="61" t="n"/>
      <c r="H80" s="57">
        <f>IFERROR($D80/$C80,"")</f>
        <v/>
      </c>
      <c r="I80" s="57">
        <f>IFERROR($E80/$D80,"")</f>
        <v/>
      </c>
      <c r="J80" s="57">
        <f>IFERROR($F80/$E80,"")</f>
        <v/>
      </c>
      <c r="K80" s="57">
        <f>IFERROR($G80/$F80,"")</f>
        <v/>
      </c>
      <c r="L80" s="40">
        <f>IF($C80="","",IF($C80&gt;='参数配置'!$B$14,"高流量","低流量"))</f>
        <v/>
      </c>
      <c r="M80" s="40">
        <f>IF($J80="","",IF($J80&gt;='参数配置'!$B$15,"高转化","低转化"))</f>
        <v/>
      </c>
      <c r="N80" s="48">
        <f>IF(OR($L80="",$M80=""),"",$L80&amp;$M80)</f>
        <v/>
      </c>
      <c r="O80" s="6">
        <f>IF($N80="","",IF($N80="高流量高转化","主推：加库存/上活动/扩达人/试投流",IF($N80="高流量低转化","查转化：价格/运费/优惠券/主图/详情/评价/客服",IF($N80="低流量高转化","加曝光：达人/短视频/直播/商城活动+秒杀",IF($N80="低流量低转化","下架或改图改标题重测/放弃","")))))</f>
        <v/>
      </c>
      <c r="P80" s="6">
        <f>IF($K80="","",IF($K80&gt;'参数配置'!$B$16,"⚠️退款率偏高·查质量/尺码/物流",""))</f>
        <v/>
      </c>
    </row>
    <row r="81">
      <c r="A81" s="52" t="n"/>
      <c r="B81" s="46">
        <f>IFERROR(VLOOKUP($A81,'SKU主表'!$A:$M,2,0),"")</f>
        <v/>
      </c>
      <c r="C81" s="61" t="n"/>
      <c r="D81" s="61" t="n"/>
      <c r="E81" s="61" t="n"/>
      <c r="F81" s="61" t="n"/>
      <c r="G81" s="61" t="n"/>
      <c r="H81" s="57">
        <f>IFERROR($D81/$C81,"")</f>
        <v/>
      </c>
      <c r="I81" s="57">
        <f>IFERROR($E81/$D81,"")</f>
        <v/>
      </c>
      <c r="J81" s="57">
        <f>IFERROR($F81/$E81,"")</f>
        <v/>
      </c>
      <c r="K81" s="57">
        <f>IFERROR($G81/$F81,"")</f>
        <v/>
      </c>
      <c r="L81" s="40">
        <f>IF($C81="","",IF($C81&gt;='参数配置'!$B$14,"高流量","低流量"))</f>
        <v/>
      </c>
      <c r="M81" s="40">
        <f>IF($J81="","",IF($J81&gt;='参数配置'!$B$15,"高转化","低转化"))</f>
        <v/>
      </c>
      <c r="N81" s="48">
        <f>IF(OR($L81="",$M81=""),"",$L81&amp;$M81)</f>
        <v/>
      </c>
      <c r="O81" s="6">
        <f>IF($N81="","",IF($N81="高流量高转化","主推：加库存/上活动/扩达人/试投流",IF($N81="高流量低转化","查转化：价格/运费/优惠券/主图/详情/评价/客服",IF($N81="低流量高转化","加曝光：达人/短视频/直播/商城活动+秒杀",IF($N81="低流量低转化","下架或改图改标题重测/放弃","")))))</f>
        <v/>
      </c>
      <c r="P81" s="6">
        <f>IF($K81="","",IF($K81&gt;'参数配置'!$B$16,"⚠️退款率偏高·查质量/尺码/物流",""))</f>
        <v/>
      </c>
    </row>
    <row r="82">
      <c r="A82" s="52" t="n"/>
      <c r="B82" s="46">
        <f>IFERROR(VLOOKUP($A82,'SKU主表'!$A:$M,2,0),"")</f>
        <v/>
      </c>
      <c r="C82" s="61" t="n"/>
      <c r="D82" s="61" t="n"/>
      <c r="E82" s="61" t="n"/>
      <c r="F82" s="61" t="n"/>
      <c r="G82" s="61" t="n"/>
      <c r="H82" s="57">
        <f>IFERROR($D82/$C82,"")</f>
        <v/>
      </c>
      <c r="I82" s="57">
        <f>IFERROR($E82/$D82,"")</f>
        <v/>
      </c>
      <c r="J82" s="57">
        <f>IFERROR($F82/$E82,"")</f>
        <v/>
      </c>
      <c r="K82" s="57">
        <f>IFERROR($G82/$F82,"")</f>
        <v/>
      </c>
      <c r="L82" s="40">
        <f>IF($C82="","",IF($C82&gt;='参数配置'!$B$14,"高流量","低流量"))</f>
        <v/>
      </c>
      <c r="M82" s="40">
        <f>IF($J82="","",IF($J82&gt;='参数配置'!$B$15,"高转化","低转化"))</f>
        <v/>
      </c>
      <c r="N82" s="48">
        <f>IF(OR($L82="",$M82=""),"",$L82&amp;$M82)</f>
        <v/>
      </c>
      <c r="O82" s="6">
        <f>IF($N82="","",IF($N82="高流量高转化","主推：加库存/上活动/扩达人/试投流",IF($N82="高流量低转化","查转化：价格/运费/优惠券/主图/详情/评价/客服",IF($N82="低流量高转化","加曝光：达人/短视频/直播/商城活动+秒杀",IF($N82="低流量低转化","下架或改图改标题重测/放弃","")))))</f>
        <v/>
      </c>
      <c r="P82" s="6">
        <f>IF($K82="","",IF($K82&gt;'参数配置'!$B$16,"⚠️退款率偏高·查质量/尺码/物流",""))</f>
        <v/>
      </c>
    </row>
    <row r="83">
      <c r="A83" s="52" t="n"/>
      <c r="B83" s="46">
        <f>IFERROR(VLOOKUP($A83,'SKU主表'!$A:$M,2,0),"")</f>
        <v/>
      </c>
      <c r="C83" s="61" t="n"/>
      <c r="D83" s="61" t="n"/>
      <c r="E83" s="61" t="n"/>
      <c r="F83" s="61" t="n"/>
      <c r="G83" s="61" t="n"/>
      <c r="H83" s="57">
        <f>IFERROR($D83/$C83,"")</f>
        <v/>
      </c>
      <c r="I83" s="57">
        <f>IFERROR($E83/$D83,"")</f>
        <v/>
      </c>
      <c r="J83" s="57">
        <f>IFERROR($F83/$E83,"")</f>
        <v/>
      </c>
      <c r="K83" s="57">
        <f>IFERROR($G83/$F83,"")</f>
        <v/>
      </c>
      <c r="L83" s="40">
        <f>IF($C83="","",IF($C83&gt;='参数配置'!$B$14,"高流量","低流量"))</f>
        <v/>
      </c>
      <c r="M83" s="40">
        <f>IF($J83="","",IF($J83&gt;='参数配置'!$B$15,"高转化","低转化"))</f>
        <v/>
      </c>
      <c r="N83" s="48">
        <f>IF(OR($L83="",$M83=""),"",$L83&amp;$M83)</f>
        <v/>
      </c>
      <c r="O83" s="6">
        <f>IF($N83="","",IF($N83="高流量高转化","主推：加库存/上活动/扩达人/试投流",IF($N83="高流量低转化","查转化：价格/运费/优惠券/主图/详情/评价/客服",IF($N83="低流量高转化","加曝光：达人/短视频/直播/商城活动+秒杀",IF($N83="低流量低转化","下架或改图改标题重测/放弃","")))))</f>
        <v/>
      </c>
      <c r="P83" s="6">
        <f>IF($K83="","",IF($K83&gt;'参数配置'!$B$16,"⚠️退款率偏高·查质量/尺码/物流",""))</f>
        <v/>
      </c>
    </row>
    <row r="84">
      <c r="A84" s="52" t="n"/>
      <c r="B84" s="46">
        <f>IFERROR(VLOOKUP($A84,'SKU主表'!$A:$M,2,0),"")</f>
        <v/>
      </c>
      <c r="C84" s="61" t="n"/>
      <c r="D84" s="61" t="n"/>
      <c r="E84" s="61" t="n"/>
      <c r="F84" s="61" t="n"/>
      <c r="G84" s="61" t="n"/>
      <c r="H84" s="57">
        <f>IFERROR($D84/$C84,"")</f>
        <v/>
      </c>
      <c r="I84" s="57">
        <f>IFERROR($E84/$D84,"")</f>
        <v/>
      </c>
      <c r="J84" s="57">
        <f>IFERROR($F84/$E84,"")</f>
        <v/>
      </c>
      <c r="K84" s="57">
        <f>IFERROR($G84/$F84,"")</f>
        <v/>
      </c>
      <c r="L84" s="40">
        <f>IF($C84="","",IF($C84&gt;='参数配置'!$B$14,"高流量","低流量"))</f>
        <v/>
      </c>
      <c r="M84" s="40">
        <f>IF($J84="","",IF($J84&gt;='参数配置'!$B$15,"高转化","低转化"))</f>
        <v/>
      </c>
      <c r="N84" s="48">
        <f>IF(OR($L84="",$M84=""),"",$L84&amp;$M84)</f>
        <v/>
      </c>
      <c r="O84" s="6">
        <f>IF($N84="","",IF($N84="高流量高转化","主推：加库存/上活动/扩达人/试投流",IF($N84="高流量低转化","查转化：价格/运费/优惠券/主图/详情/评价/客服",IF($N84="低流量高转化","加曝光：达人/短视频/直播/商城活动+秒杀",IF($N84="低流量低转化","下架或改图改标题重测/放弃","")))))</f>
        <v/>
      </c>
      <c r="P84" s="6">
        <f>IF($K84="","",IF($K84&gt;'参数配置'!$B$16,"⚠️退款率偏高·查质量/尺码/物流",""))</f>
        <v/>
      </c>
    </row>
    <row r="85">
      <c r="A85" s="52" t="n"/>
      <c r="B85" s="46">
        <f>IFERROR(VLOOKUP($A85,'SKU主表'!$A:$M,2,0),"")</f>
        <v/>
      </c>
      <c r="C85" s="61" t="n"/>
      <c r="D85" s="61" t="n"/>
      <c r="E85" s="61" t="n"/>
      <c r="F85" s="61" t="n"/>
      <c r="G85" s="61" t="n"/>
      <c r="H85" s="57">
        <f>IFERROR($D85/$C85,"")</f>
        <v/>
      </c>
      <c r="I85" s="57">
        <f>IFERROR($E85/$D85,"")</f>
        <v/>
      </c>
      <c r="J85" s="57">
        <f>IFERROR($F85/$E85,"")</f>
        <v/>
      </c>
      <c r="K85" s="57">
        <f>IFERROR($G85/$F85,"")</f>
        <v/>
      </c>
      <c r="L85" s="40">
        <f>IF($C85="","",IF($C85&gt;='参数配置'!$B$14,"高流量","低流量"))</f>
        <v/>
      </c>
      <c r="M85" s="40">
        <f>IF($J85="","",IF($J85&gt;='参数配置'!$B$15,"高转化","低转化"))</f>
        <v/>
      </c>
      <c r="N85" s="48">
        <f>IF(OR($L85="",$M85=""),"",$L85&amp;$M85)</f>
        <v/>
      </c>
      <c r="O85" s="6">
        <f>IF($N85="","",IF($N85="高流量高转化","主推：加库存/上活动/扩达人/试投流",IF($N85="高流量低转化","查转化：价格/运费/优惠券/主图/详情/评价/客服",IF($N85="低流量高转化","加曝光：达人/短视频/直播/商城活动+秒杀",IF($N85="低流量低转化","下架或改图改标题重测/放弃","")))))</f>
        <v/>
      </c>
      <c r="P85" s="6">
        <f>IF($K85="","",IF($K85&gt;'参数配置'!$B$16,"⚠️退款率偏高·查质量/尺码/物流",""))</f>
        <v/>
      </c>
    </row>
    <row r="86">
      <c r="A86" s="52" t="n"/>
      <c r="B86" s="46">
        <f>IFERROR(VLOOKUP($A86,'SKU主表'!$A:$M,2,0),"")</f>
        <v/>
      </c>
      <c r="C86" s="61" t="n"/>
      <c r="D86" s="61" t="n"/>
      <c r="E86" s="61" t="n"/>
      <c r="F86" s="61" t="n"/>
      <c r="G86" s="61" t="n"/>
      <c r="H86" s="57">
        <f>IFERROR($D86/$C86,"")</f>
        <v/>
      </c>
      <c r="I86" s="57">
        <f>IFERROR($E86/$D86,"")</f>
        <v/>
      </c>
      <c r="J86" s="57">
        <f>IFERROR($F86/$E86,"")</f>
        <v/>
      </c>
      <c r="K86" s="57">
        <f>IFERROR($G86/$F86,"")</f>
        <v/>
      </c>
      <c r="L86" s="40">
        <f>IF($C86="","",IF($C86&gt;='参数配置'!$B$14,"高流量","低流量"))</f>
        <v/>
      </c>
      <c r="M86" s="40">
        <f>IF($J86="","",IF($J86&gt;='参数配置'!$B$15,"高转化","低转化"))</f>
        <v/>
      </c>
      <c r="N86" s="48">
        <f>IF(OR($L86="",$M86=""),"",$L86&amp;$M86)</f>
        <v/>
      </c>
      <c r="O86" s="6">
        <f>IF($N86="","",IF($N86="高流量高转化","主推：加库存/上活动/扩达人/试投流",IF($N86="高流量低转化","查转化：价格/运费/优惠券/主图/详情/评价/客服",IF($N86="低流量高转化","加曝光：达人/短视频/直播/商城活动+秒杀",IF($N86="低流量低转化","下架或改图改标题重测/放弃","")))))</f>
        <v/>
      </c>
      <c r="P86" s="6">
        <f>IF($K86="","",IF($K86&gt;'参数配置'!$B$16,"⚠️退款率偏高·查质量/尺码/物流",""))</f>
        <v/>
      </c>
    </row>
    <row r="87">
      <c r="A87" s="52" t="n"/>
      <c r="B87" s="46">
        <f>IFERROR(VLOOKUP($A87,'SKU主表'!$A:$M,2,0),"")</f>
        <v/>
      </c>
      <c r="C87" s="61" t="n"/>
      <c r="D87" s="61" t="n"/>
      <c r="E87" s="61" t="n"/>
      <c r="F87" s="61" t="n"/>
      <c r="G87" s="61" t="n"/>
      <c r="H87" s="57">
        <f>IFERROR($D87/$C87,"")</f>
        <v/>
      </c>
      <c r="I87" s="57">
        <f>IFERROR($E87/$D87,"")</f>
        <v/>
      </c>
      <c r="J87" s="57">
        <f>IFERROR($F87/$E87,"")</f>
        <v/>
      </c>
      <c r="K87" s="57">
        <f>IFERROR($G87/$F87,"")</f>
        <v/>
      </c>
      <c r="L87" s="40">
        <f>IF($C87="","",IF($C87&gt;='参数配置'!$B$14,"高流量","低流量"))</f>
        <v/>
      </c>
      <c r="M87" s="40">
        <f>IF($J87="","",IF($J87&gt;='参数配置'!$B$15,"高转化","低转化"))</f>
        <v/>
      </c>
      <c r="N87" s="48">
        <f>IF(OR($L87="",$M87=""),"",$L87&amp;$M87)</f>
        <v/>
      </c>
      <c r="O87" s="6">
        <f>IF($N87="","",IF($N87="高流量高转化","主推：加库存/上活动/扩达人/试投流",IF($N87="高流量低转化","查转化：价格/运费/优惠券/主图/详情/评价/客服",IF($N87="低流量高转化","加曝光：达人/短视频/直播/商城活动+秒杀",IF($N87="低流量低转化","下架或改图改标题重测/放弃","")))))</f>
        <v/>
      </c>
      <c r="P87" s="6">
        <f>IF($K87="","",IF($K87&gt;'参数配置'!$B$16,"⚠️退款率偏高·查质量/尺码/物流",""))</f>
        <v/>
      </c>
    </row>
    <row r="88">
      <c r="A88" s="52" t="n"/>
      <c r="B88" s="46">
        <f>IFERROR(VLOOKUP($A88,'SKU主表'!$A:$M,2,0),"")</f>
        <v/>
      </c>
      <c r="C88" s="61" t="n"/>
      <c r="D88" s="61" t="n"/>
      <c r="E88" s="61" t="n"/>
      <c r="F88" s="61" t="n"/>
      <c r="G88" s="61" t="n"/>
      <c r="H88" s="57">
        <f>IFERROR($D88/$C88,"")</f>
        <v/>
      </c>
      <c r="I88" s="57">
        <f>IFERROR($E88/$D88,"")</f>
        <v/>
      </c>
      <c r="J88" s="57">
        <f>IFERROR($F88/$E88,"")</f>
        <v/>
      </c>
      <c r="K88" s="57">
        <f>IFERROR($G88/$F88,"")</f>
        <v/>
      </c>
      <c r="L88" s="40">
        <f>IF($C88="","",IF($C88&gt;='参数配置'!$B$14,"高流量","低流量"))</f>
        <v/>
      </c>
      <c r="M88" s="40">
        <f>IF($J88="","",IF($J88&gt;='参数配置'!$B$15,"高转化","低转化"))</f>
        <v/>
      </c>
      <c r="N88" s="48">
        <f>IF(OR($L88="",$M88=""),"",$L88&amp;$M88)</f>
        <v/>
      </c>
      <c r="O88" s="6">
        <f>IF($N88="","",IF($N88="高流量高转化","主推：加库存/上活动/扩达人/试投流",IF($N88="高流量低转化","查转化：价格/运费/优惠券/主图/详情/评价/客服",IF($N88="低流量高转化","加曝光：达人/短视频/直播/商城活动+秒杀",IF($N88="低流量低转化","下架或改图改标题重测/放弃","")))))</f>
        <v/>
      </c>
      <c r="P88" s="6">
        <f>IF($K88="","",IF($K88&gt;'参数配置'!$B$16,"⚠️退款率偏高·查质量/尺码/物流",""))</f>
        <v/>
      </c>
    </row>
    <row r="89">
      <c r="A89" s="52" t="n"/>
      <c r="B89" s="46">
        <f>IFERROR(VLOOKUP($A89,'SKU主表'!$A:$M,2,0),"")</f>
        <v/>
      </c>
      <c r="C89" s="61" t="n"/>
      <c r="D89" s="61" t="n"/>
      <c r="E89" s="61" t="n"/>
      <c r="F89" s="61" t="n"/>
      <c r="G89" s="61" t="n"/>
      <c r="H89" s="57">
        <f>IFERROR($D89/$C89,"")</f>
        <v/>
      </c>
      <c r="I89" s="57">
        <f>IFERROR($E89/$D89,"")</f>
        <v/>
      </c>
      <c r="J89" s="57">
        <f>IFERROR($F89/$E89,"")</f>
        <v/>
      </c>
      <c r="K89" s="57">
        <f>IFERROR($G89/$F89,"")</f>
        <v/>
      </c>
      <c r="L89" s="40">
        <f>IF($C89="","",IF($C89&gt;='参数配置'!$B$14,"高流量","低流量"))</f>
        <v/>
      </c>
      <c r="M89" s="40">
        <f>IF($J89="","",IF($J89&gt;='参数配置'!$B$15,"高转化","低转化"))</f>
        <v/>
      </c>
      <c r="N89" s="48">
        <f>IF(OR($L89="",$M89=""),"",$L89&amp;$M89)</f>
        <v/>
      </c>
      <c r="O89" s="6">
        <f>IF($N89="","",IF($N89="高流量高转化","主推：加库存/上活动/扩达人/试投流",IF($N89="高流量低转化","查转化：价格/运费/优惠券/主图/详情/评价/客服",IF($N89="低流量高转化","加曝光：达人/短视频/直播/商城活动+秒杀",IF($N89="低流量低转化","下架或改图改标题重测/放弃","")))))</f>
        <v/>
      </c>
      <c r="P89" s="6">
        <f>IF($K89="","",IF($K89&gt;'参数配置'!$B$16,"⚠️退款率偏高·查质量/尺码/物流",""))</f>
        <v/>
      </c>
    </row>
    <row r="90">
      <c r="A90" s="52" t="n"/>
      <c r="B90" s="46">
        <f>IFERROR(VLOOKUP($A90,'SKU主表'!$A:$M,2,0),"")</f>
        <v/>
      </c>
      <c r="C90" s="61" t="n"/>
      <c r="D90" s="61" t="n"/>
      <c r="E90" s="61" t="n"/>
      <c r="F90" s="61" t="n"/>
      <c r="G90" s="61" t="n"/>
      <c r="H90" s="57">
        <f>IFERROR($D90/$C90,"")</f>
        <v/>
      </c>
      <c r="I90" s="57">
        <f>IFERROR($E90/$D90,"")</f>
        <v/>
      </c>
      <c r="J90" s="57">
        <f>IFERROR($F90/$E90,"")</f>
        <v/>
      </c>
      <c r="K90" s="57">
        <f>IFERROR($G90/$F90,"")</f>
        <v/>
      </c>
      <c r="L90" s="40">
        <f>IF($C90="","",IF($C90&gt;='参数配置'!$B$14,"高流量","低流量"))</f>
        <v/>
      </c>
      <c r="M90" s="40">
        <f>IF($J90="","",IF($J90&gt;='参数配置'!$B$15,"高转化","低转化"))</f>
        <v/>
      </c>
      <c r="N90" s="48">
        <f>IF(OR($L90="",$M90=""),"",$L90&amp;$M90)</f>
        <v/>
      </c>
      <c r="O90" s="6">
        <f>IF($N90="","",IF($N90="高流量高转化","主推：加库存/上活动/扩达人/试投流",IF($N90="高流量低转化","查转化：价格/运费/优惠券/主图/详情/评价/客服",IF($N90="低流量高转化","加曝光：达人/短视频/直播/商城活动+秒杀",IF($N90="低流量低转化","下架或改图改标题重测/放弃","")))))</f>
        <v/>
      </c>
      <c r="P90" s="6">
        <f>IF($K90="","",IF($K90&gt;'参数配置'!$B$16,"⚠️退款率偏高·查质量/尺码/物流",""))</f>
        <v/>
      </c>
    </row>
    <row r="91">
      <c r="A91" s="52" t="n"/>
      <c r="B91" s="46">
        <f>IFERROR(VLOOKUP($A91,'SKU主表'!$A:$M,2,0),"")</f>
        <v/>
      </c>
      <c r="C91" s="61" t="n"/>
      <c r="D91" s="61" t="n"/>
      <c r="E91" s="61" t="n"/>
      <c r="F91" s="61" t="n"/>
      <c r="G91" s="61" t="n"/>
      <c r="H91" s="57">
        <f>IFERROR($D91/$C91,"")</f>
        <v/>
      </c>
      <c r="I91" s="57">
        <f>IFERROR($E91/$D91,"")</f>
        <v/>
      </c>
      <c r="J91" s="57">
        <f>IFERROR($F91/$E91,"")</f>
        <v/>
      </c>
      <c r="K91" s="57">
        <f>IFERROR($G91/$F91,"")</f>
        <v/>
      </c>
      <c r="L91" s="40">
        <f>IF($C91="","",IF($C91&gt;='参数配置'!$B$14,"高流量","低流量"))</f>
        <v/>
      </c>
      <c r="M91" s="40">
        <f>IF($J91="","",IF($J91&gt;='参数配置'!$B$15,"高转化","低转化"))</f>
        <v/>
      </c>
      <c r="N91" s="48">
        <f>IF(OR($L91="",$M91=""),"",$L91&amp;$M91)</f>
        <v/>
      </c>
      <c r="O91" s="6">
        <f>IF($N91="","",IF($N91="高流量高转化","主推：加库存/上活动/扩达人/试投流",IF($N91="高流量低转化","查转化：价格/运费/优惠券/主图/详情/评价/客服",IF($N91="低流量高转化","加曝光：达人/短视频/直播/商城活动+秒杀",IF($N91="低流量低转化","下架或改图改标题重测/放弃","")))))</f>
        <v/>
      </c>
      <c r="P91" s="6">
        <f>IF($K91="","",IF($K91&gt;'参数配置'!$B$16,"⚠️退款率偏高·查质量/尺码/物流",""))</f>
        <v/>
      </c>
    </row>
    <row r="92">
      <c r="A92" s="52" t="n"/>
      <c r="B92" s="46">
        <f>IFERROR(VLOOKUP($A92,'SKU主表'!$A:$M,2,0),"")</f>
        <v/>
      </c>
      <c r="C92" s="61" t="n"/>
      <c r="D92" s="61" t="n"/>
      <c r="E92" s="61" t="n"/>
      <c r="F92" s="61" t="n"/>
      <c r="G92" s="61" t="n"/>
      <c r="H92" s="57">
        <f>IFERROR($D92/$C92,"")</f>
        <v/>
      </c>
      <c r="I92" s="57">
        <f>IFERROR($E92/$D92,"")</f>
        <v/>
      </c>
      <c r="J92" s="57">
        <f>IFERROR($F92/$E92,"")</f>
        <v/>
      </c>
      <c r="K92" s="57">
        <f>IFERROR($G92/$F92,"")</f>
        <v/>
      </c>
      <c r="L92" s="40">
        <f>IF($C92="","",IF($C92&gt;='参数配置'!$B$14,"高流量","低流量"))</f>
        <v/>
      </c>
      <c r="M92" s="40">
        <f>IF($J92="","",IF($J92&gt;='参数配置'!$B$15,"高转化","低转化"))</f>
        <v/>
      </c>
      <c r="N92" s="48">
        <f>IF(OR($L92="",$M92=""),"",$L92&amp;$M92)</f>
        <v/>
      </c>
      <c r="O92" s="6">
        <f>IF($N92="","",IF($N92="高流量高转化","主推：加库存/上活动/扩达人/试投流",IF($N92="高流量低转化","查转化：价格/运费/优惠券/主图/详情/评价/客服",IF($N92="低流量高转化","加曝光：达人/短视频/直播/商城活动+秒杀",IF($N92="低流量低转化","下架或改图改标题重测/放弃","")))))</f>
        <v/>
      </c>
      <c r="P92" s="6">
        <f>IF($K92="","",IF($K92&gt;'参数配置'!$B$16,"⚠️退款率偏高·查质量/尺码/物流",""))</f>
        <v/>
      </c>
    </row>
    <row r="93">
      <c r="A93" s="52" t="n"/>
      <c r="B93" s="46">
        <f>IFERROR(VLOOKUP($A93,'SKU主表'!$A:$M,2,0),"")</f>
        <v/>
      </c>
      <c r="C93" s="61" t="n"/>
      <c r="D93" s="61" t="n"/>
      <c r="E93" s="61" t="n"/>
      <c r="F93" s="61" t="n"/>
      <c r="G93" s="61" t="n"/>
      <c r="H93" s="57">
        <f>IFERROR($D93/$C93,"")</f>
        <v/>
      </c>
      <c r="I93" s="57">
        <f>IFERROR($E93/$D93,"")</f>
        <v/>
      </c>
      <c r="J93" s="57">
        <f>IFERROR($F93/$E93,"")</f>
        <v/>
      </c>
      <c r="K93" s="57">
        <f>IFERROR($G93/$F93,"")</f>
        <v/>
      </c>
      <c r="L93" s="40">
        <f>IF($C93="","",IF($C93&gt;='参数配置'!$B$14,"高流量","低流量"))</f>
        <v/>
      </c>
      <c r="M93" s="40">
        <f>IF($J93="","",IF($J93&gt;='参数配置'!$B$15,"高转化","低转化"))</f>
        <v/>
      </c>
      <c r="N93" s="48">
        <f>IF(OR($L93="",$M93=""),"",$L93&amp;$M93)</f>
        <v/>
      </c>
      <c r="O93" s="6">
        <f>IF($N93="","",IF($N93="高流量高转化","主推：加库存/上活动/扩达人/试投流",IF($N93="高流量低转化","查转化：价格/运费/优惠券/主图/详情/评价/客服",IF($N93="低流量高转化","加曝光：达人/短视频/直播/商城活动+秒杀",IF($N93="低流量低转化","下架或改图改标题重测/放弃","")))))</f>
        <v/>
      </c>
      <c r="P93" s="6">
        <f>IF($K93="","",IF($K93&gt;'参数配置'!$B$16,"⚠️退款率偏高·查质量/尺码/物流",""))</f>
        <v/>
      </c>
    </row>
    <row r="94">
      <c r="A94" s="52" t="n"/>
      <c r="B94" s="46">
        <f>IFERROR(VLOOKUP($A94,'SKU主表'!$A:$M,2,0),"")</f>
        <v/>
      </c>
      <c r="C94" s="61" t="n"/>
      <c r="D94" s="61" t="n"/>
      <c r="E94" s="61" t="n"/>
      <c r="F94" s="61" t="n"/>
      <c r="G94" s="61" t="n"/>
      <c r="H94" s="57">
        <f>IFERROR($D94/$C94,"")</f>
        <v/>
      </c>
      <c r="I94" s="57">
        <f>IFERROR($E94/$D94,"")</f>
        <v/>
      </c>
      <c r="J94" s="57">
        <f>IFERROR($F94/$E94,"")</f>
        <v/>
      </c>
      <c r="K94" s="57">
        <f>IFERROR($G94/$F94,"")</f>
        <v/>
      </c>
      <c r="L94" s="40">
        <f>IF($C94="","",IF($C94&gt;='参数配置'!$B$14,"高流量","低流量"))</f>
        <v/>
      </c>
      <c r="M94" s="40">
        <f>IF($J94="","",IF($J94&gt;='参数配置'!$B$15,"高转化","低转化"))</f>
        <v/>
      </c>
      <c r="N94" s="48">
        <f>IF(OR($L94="",$M94=""),"",$L94&amp;$M94)</f>
        <v/>
      </c>
      <c r="O94" s="6">
        <f>IF($N94="","",IF($N94="高流量高转化","主推：加库存/上活动/扩达人/试投流",IF($N94="高流量低转化","查转化：价格/运费/优惠券/主图/详情/评价/客服",IF($N94="低流量高转化","加曝光：达人/短视频/直播/商城活动+秒杀",IF($N94="低流量低转化","下架或改图改标题重测/放弃","")))))</f>
        <v/>
      </c>
      <c r="P94" s="6">
        <f>IF($K94="","",IF($K94&gt;'参数配置'!$B$16,"⚠️退款率偏高·查质量/尺码/物流",""))</f>
        <v/>
      </c>
    </row>
    <row r="95">
      <c r="A95" s="52" t="n"/>
      <c r="B95" s="46">
        <f>IFERROR(VLOOKUP($A95,'SKU主表'!$A:$M,2,0),"")</f>
        <v/>
      </c>
      <c r="C95" s="61" t="n"/>
      <c r="D95" s="61" t="n"/>
      <c r="E95" s="61" t="n"/>
      <c r="F95" s="61" t="n"/>
      <c r="G95" s="61" t="n"/>
      <c r="H95" s="57">
        <f>IFERROR($D95/$C95,"")</f>
        <v/>
      </c>
      <c r="I95" s="57">
        <f>IFERROR($E95/$D95,"")</f>
        <v/>
      </c>
      <c r="J95" s="57">
        <f>IFERROR($F95/$E95,"")</f>
        <v/>
      </c>
      <c r="K95" s="57">
        <f>IFERROR($G95/$F95,"")</f>
        <v/>
      </c>
      <c r="L95" s="40">
        <f>IF($C95="","",IF($C95&gt;='参数配置'!$B$14,"高流量","低流量"))</f>
        <v/>
      </c>
      <c r="M95" s="40">
        <f>IF($J95="","",IF($J95&gt;='参数配置'!$B$15,"高转化","低转化"))</f>
        <v/>
      </c>
      <c r="N95" s="48">
        <f>IF(OR($L95="",$M95=""),"",$L95&amp;$M95)</f>
        <v/>
      </c>
      <c r="O95" s="6">
        <f>IF($N95="","",IF($N95="高流量高转化","主推：加库存/上活动/扩达人/试投流",IF($N95="高流量低转化","查转化：价格/运费/优惠券/主图/详情/评价/客服",IF($N95="低流量高转化","加曝光：达人/短视频/直播/商城活动+秒杀",IF($N95="低流量低转化","下架或改图改标题重测/放弃","")))))</f>
        <v/>
      </c>
      <c r="P95" s="6">
        <f>IF($K95="","",IF($K95&gt;'参数配置'!$B$16,"⚠️退款率偏高·查质量/尺码/物流",""))</f>
        <v/>
      </c>
    </row>
    <row r="96">
      <c r="A96" s="52" t="n"/>
      <c r="B96" s="46">
        <f>IFERROR(VLOOKUP($A96,'SKU主表'!$A:$M,2,0),"")</f>
        <v/>
      </c>
      <c r="C96" s="61" t="n"/>
      <c r="D96" s="61" t="n"/>
      <c r="E96" s="61" t="n"/>
      <c r="F96" s="61" t="n"/>
      <c r="G96" s="61" t="n"/>
      <c r="H96" s="57">
        <f>IFERROR($D96/$C96,"")</f>
        <v/>
      </c>
      <c r="I96" s="57">
        <f>IFERROR($E96/$D96,"")</f>
        <v/>
      </c>
      <c r="J96" s="57">
        <f>IFERROR($F96/$E96,"")</f>
        <v/>
      </c>
      <c r="K96" s="57">
        <f>IFERROR($G96/$F96,"")</f>
        <v/>
      </c>
      <c r="L96" s="40">
        <f>IF($C96="","",IF($C96&gt;='参数配置'!$B$14,"高流量","低流量"))</f>
        <v/>
      </c>
      <c r="M96" s="40">
        <f>IF($J96="","",IF($J96&gt;='参数配置'!$B$15,"高转化","低转化"))</f>
        <v/>
      </c>
      <c r="N96" s="48">
        <f>IF(OR($L96="",$M96=""),"",$L96&amp;$M96)</f>
        <v/>
      </c>
      <c r="O96" s="6">
        <f>IF($N96="","",IF($N96="高流量高转化","主推：加库存/上活动/扩达人/试投流",IF($N96="高流量低转化","查转化：价格/运费/优惠券/主图/详情/评价/客服",IF($N96="低流量高转化","加曝光：达人/短视频/直播/商城活动+秒杀",IF($N96="低流量低转化","下架或改图改标题重测/放弃","")))))</f>
        <v/>
      </c>
      <c r="P96" s="6">
        <f>IF($K96="","",IF($K96&gt;'参数配置'!$B$16,"⚠️退款率偏高·查质量/尺码/物流",""))</f>
        <v/>
      </c>
    </row>
    <row r="97">
      <c r="A97" s="52" t="n"/>
      <c r="B97" s="46">
        <f>IFERROR(VLOOKUP($A97,'SKU主表'!$A:$M,2,0),"")</f>
        <v/>
      </c>
      <c r="C97" s="61" t="n"/>
      <c r="D97" s="61" t="n"/>
      <c r="E97" s="61" t="n"/>
      <c r="F97" s="61" t="n"/>
      <c r="G97" s="61" t="n"/>
      <c r="H97" s="57">
        <f>IFERROR($D97/$C97,"")</f>
        <v/>
      </c>
      <c r="I97" s="57">
        <f>IFERROR($E97/$D97,"")</f>
        <v/>
      </c>
      <c r="J97" s="57">
        <f>IFERROR($F97/$E97,"")</f>
        <v/>
      </c>
      <c r="K97" s="57">
        <f>IFERROR($G97/$F97,"")</f>
        <v/>
      </c>
      <c r="L97" s="40">
        <f>IF($C97="","",IF($C97&gt;='参数配置'!$B$14,"高流量","低流量"))</f>
        <v/>
      </c>
      <c r="M97" s="40">
        <f>IF($J97="","",IF($J97&gt;='参数配置'!$B$15,"高转化","低转化"))</f>
        <v/>
      </c>
      <c r="N97" s="48">
        <f>IF(OR($L97="",$M97=""),"",$L97&amp;$M97)</f>
        <v/>
      </c>
      <c r="O97" s="6">
        <f>IF($N97="","",IF($N97="高流量高转化","主推：加库存/上活动/扩达人/试投流",IF($N97="高流量低转化","查转化：价格/运费/优惠券/主图/详情/评价/客服",IF($N97="低流量高转化","加曝光：达人/短视频/直播/商城活动+秒杀",IF($N97="低流量低转化","下架或改图改标题重测/放弃","")))))</f>
        <v/>
      </c>
      <c r="P97" s="6">
        <f>IF($K97="","",IF($K97&gt;'参数配置'!$B$16,"⚠️退款率偏高·查质量/尺码/物流",""))</f>
        <v/>
      </c>
    </row>
    <row r="98">
      <c r="A98" s="52" t="n"/>
      <c r="B98" s="46">
        <f>IFERROR(VLOOKUP($A98,'SKU主表'!$A:$M,2,0),"")</f>
        <v/>
      </c>
      <c r="C98" s="61" t="n"/>
      <c r="D98" s="61" t="n"/>
      <c r="E98" s="61" t="n"/>
      <c r="F98" s="61" t="n"/>
      <c r="G98" s="61" t="n"/>
      <c r="H98" s="57">
        <f>IFERROR($D98/$C98,"")</f>
        <v/>
      </c>
      <c r="I98" s="57">
        <f>IFERROR($E98/$D98,"")</f>
        <v/>
      </c>
      <c r="J98" s="57">
        <f>IFERROR($F98/$E98,"")</f>
        <v/>
      </c>
      <c r="K98" s="57">
        <f>IFERROR($G98/$F98,"")</f>
        <v/>
      </c>
      <c r="L98" s="40">
        <f>IF($C98="","",IF($C98&gt;='参数配置'!$B$14,"高流量","低流量"))</f>
        <v/>
      </c>
      <c r="M98" s="40">
        <f>IF($J98="","",IF($J98&gt;='参数配置'!$B$15,"高转化","低转化"))</f>
        <v/>
      </c>
      <c r="N98" s="48">
        <f>IF(OR($L98="",$M98=""),"",$L98&amp;$M98)</f>
        <v/>
      </c>
      <c r="O98" s="6">
        <f>IF($N98="","",IF($N98="高流量高转化","主推：加库存/上活动/扩达人/试投流",IF($N98="高流量低转化","查转化：价格/运费/优惠券/主图/详情/评价/客服",IF($N98="低流量高转化","加曝光：达人/短视频/直播/商城活动+秒杀",IF($N98="低流量低转化","下架或改图改标题重测/放弃","")))))</f>
        <v/>
      </c>
      <c r="P98" s="6">
        <f>IF($K98="","",IF($K98&gt;'参数配置'!$B$16,"⚠️退款率偏高·查质量/尺码/物流",""))</f>
        <v/>
      </c>
    </row>
    <row r="99">
      <c r="A99" s="52" t="n"/>
      <c r="B99" s="46">
        <f>IFERROR(VLOOKUP($A99,'SKU主表'!$A:$M,2,0),"")</f>
        <v/>
      </c>
      <c r="C99" s="61" t="n"/>
      <c r="D99" s="61" t="n"/>
      <c r="E99" s="61" t="n"/>
      <c r="F99" s="61" t="n"/>
      <c r="G99" s="61" t="n"/>
      <c r="H99" s="57">
        <f>IFERROR($D99/$C99,"")</f>
        <v/>
      </c>
      <c r="I99" s="57">
        <f>IFERROR($E99/$D99,"")</f>
        <v/>
      </c>
      <c r="J99" s="57">
        <f>IFERROR($F99/$E99,"")</f>
        <v/>
      </c>
      <c r="K99" s="57">
        <f>IFERROR($G99/$F99,"")</f>
        <v/>
      </c>
      <c r="L99" s="40">
        <f>IF($C99="","",IF($C99&gt;='参数配置'!$B$14,"高流量","低流量"))</f>
        <v/>
      </c>
      <c r="M99" s="40">
        <f>IF($J99="","",IF($J99&gt;='参数配置'!$B$15,"高转化","低转化"))</f>
        <v/>
      </c>
      <c r="N99" s="48">
        <f>IF(OR($L99="",$M99=""),"",$L99&amp;$M99)</f>
        <v/>
      </c>
      <c r="O99" s="6">
        <f>IF($N99="","",IF($N99="高流量高转化","主推：加库存/上活动/扩达人/试投流",IF($N99="高流量低转化","查转化：价格/运费/优惠券/主图/详情/评价/客服",IF($N99="低流量高转化","加曝光：达人/短视频/直播/商城活动+秒杀",IF($N99="低流量低转化","下架或改图改标题重测/放弃","")))))</f>
        <v/>
      </c>
      <c r="P99" s="6">
        <f>IF($K99="","",IF($K99&gt;'参数配置'!$B$16,"⚠️退款率偏高·查质量/尺码/物流",""))</f>
        <v/>
      </c>
    </row>
    <row r="100">
      <c r="A100" s="52" t="n"/>
      <c r="B100" s="46">
        <f>IFERROR(VLOOKUP($A100,'SKU主表'!$A:$M,2,0),"")</f>
        <v/>
      </c>
      <c r="C100" s="61" t="n"/>
      <c r="D100" s="61" t="n"/>
      <c r="E100" s="61" t="n"/>
      <c r="F100" s="61" t="n"/>
      <c r="G100" s="61" t="n"/>
      <c r="H100" s="57">
        <f>IFERROR($D100/$C100,"")</f>
        <v/>
      </c>
      <c r="I100" s="57">
        <f>IFERROR($E100/$D100,"")</f>
        <v/>
      </c>
      <c r="J100" s="57">
        <f>IFERROR($F100/$E100,"")</f>
        <v/>
      </c>
      <c r="K100" s="57">
        <f>IFERROR($G100/$F100,"")</f>
        <v/>
      </c>
      <c r="L100" s="40">
        <f>IF($C100="","",IF($C100&gt;='参数配置'!$B$14,"高流量","低流量"))</f>
        <v/>
      </c>
      <c r="M100" s="40">
        <f>IF($J100="","",IF($J100&gt;='参数配置'!$B$15,"高转化","低转化"))</f>
        <v/>
      </c>
      <c r="N100" s="48">
        <f>IF(OR($L100="",$M100=""),"",$L100&amp;$M100)</f>
        <v/>
      </c>
      <c r="O100" s="6">
        <f>IF($N100="","",IF($N100="高流量高转化","主推：加库存/上活动/扩达人/试投流",IF($N100="高流量低转化","查转化：价格/运费/优惠券/主图/详情/评价/客服",IF($N100="低流量高转化","加曝光：达人/短视频/直播/商城活动+秒杀",IF($N100="低流量低转化","下架或改图改标题重测/放弃","")))))</f>
        <v/>
      </c>
      <c r="P100" s="6">
        <f>IF($K100="","",IF($K100&gt;'参数配置'!$B$16,"⚠️退款率偏高·查质量/尺码/物流",""))</f>
        <v/>
      </c>
    </row>
    <row r="101">
      <c r="A101" s="52" t="n"/>
      <c r="B101" s="46">
        <f>IFERROR(VLOOKUP($A101,'SKU主表'!$A:$M,2,0),"")</f>
        <v/>
      </c>
      <c r="C101" s="61" t="n"/>
      <c r="D101" s="61" t="n"/>
      <c r="E101" s="61" t="n"/>
      <c r="F101" s="61" t="n"/>
      <c r="G101" s="61" t="n"/>
      <c r="H101" s="57">
        <f>IFERROR($D101/$C101,"")</f>
        <v/>
      </c>
      <c r="I101" s="57">
        <f>IFERROR($E101/$D101,"")</f>
        <v/>
      </c>
      <c r="J101" s="57">
        <f>IFERROR($F101/$E101,"")</f>
        <v/>
      </c>
      <c r="K101" s="57">
        <f>IFERROR($G101/$F101,"")</f>
        <v/>
      </c>
      <c r="L101" s="40">
        <f>IF($C101="","",IF($C101&gt;='参数配置'!$B$14,"高流量","低流量"))</f>
        <v/>
      </c>
      <c r="M101" s="40">
        <f>IF($J101="","",IF($J101&gt;='参数配置'!$B$15,"高转化","低转化"))</f>
        <v/>
      </c>
      <c r="N101" s="48">
        <f>IF(OR($L101="",$M101=""),"",$L101&amp;$M101)</f>
        <v/>
      </c>
      <c r="O101" s="6">
        <f>IF($N101="","",IF($N101="高流量高转化","主推：加库存/上活动/扩达人/试投流",IF($N101="高流量低转化","查转化：价格/运费/优惠券/主图/详情/评价/客服",IF($N101="低流量高转化","加曝光：达人/短视频/直播/商城活动+秒杀",IF($N101="低流量低转化","下架或改图改标题重测/放弃","")))))</f>
        <v/>
      </c>
      <c r="P101" s="6">
        <f>IF($K101="","",IF($K101&gt;'参数配置'!$B$16,"⚠️退款率偏高·查质量/尺码/物流",""))</f>
        <v/>
      </c>
    </row>
    <row r="102">
      <c r="A102" s="52" t="n"/>
      <c r="B102" s="46">
        <f>IFERROR(VLOOKUP($A102,'SKU主表'!$A:$M,2,0),"")</f>
        <v/>
      </c>
      <c r="C102" s="61" t="n"/>
      <c r="D102" s="61" t="n"/>
      <c r="E102" s="61" t="n"/>
      <c r="F102" s="61" t="n"/>
      <c r="G102" s="61" t="n"/>
      <c r="H102" s="57">
        <f>IFERROR($D102/$C102,"")</f>
        <v/>
      </c>
      <c r="I102" s="57">
        <f>IFERROR($E102/$D102,"")</f>
        <v/>
      </c>
      <c r="J102" s="57">
        <f>IFERROR($F102/$E102,"")</f>
        <v/>
      </c>
      <c r="K102" s="57">
        <f>IFERROR($G102/$F102,"")</f>
        <v/>
      </c>
      <c r="L102" s="40">
        <f>IF($C102="","",IF($C102&gt;='参数配置'!$B$14,"高流量","低流量"))</f>
        <v/>
      </c>
      <c r="M102" s="40">
        <f>IF($J102="","",IF($J102&gt;='参数配置'!$B$15,"高转化","低转化"))</f>
        <v/>
      </c>
      <c r="N102" s="48">
        <f>IF(OR($L102="",$M102=""),"",$L102&amp;$M102)</f>
        <v/>
      </c>
      <c r="O102" s="6">
        <f>IF($N102="","",IF($N102="高流量高转化","主推：加库存/上活动/扩达人/试投流",IF($N102="高流量低转化","查转化：价格/运费/优惠券/主图/详情/评价/客服",IF($N102="低流量高转化","加曝光：达人/短视频/直播/商城活动+秒杀",IF($N102="低流量低转化","下架或改图改标题重测/放弃","")))))</f>
        <v/>
      </c>
      <c r="P102" s="6">
        <f>IF($K102="","",IF($K102&gt;'参数配置'!$B$16,"⚠️退款率偏高·查质量/尺码/物流",""))</f>
        <v/>
      </c>
    </row>
    <row r="103">
      <c r="A103" s="52" t="n"/>
      <c r="B103" s="46">
        <f>IFERROR(VLOOKUP($A103,'SKU主表'!$A:$M,2,0),"")</f>
        <v/>
      </c>
      <c r="C103" s="61" t="n"/>
      <c r="D103" s="61" t="n"/>
      <c r="E103" s="61" t="n"/>
      <c r="F103" s="61" t="n"/>
      <c r="G103" s="61" t="n"/>
      <c r="H103" s="57">
        <f>IFERROR($D103/$C103,"")</f>
        <v/>
      </c>
      <c r="I103" s="57">
        <f>IFERROR($E103/$D103,"")</f>
        <v/>
      </c>
      <c r="J103" s="57">
        <f>IFERROR($F103/$E103,"")</f>
        <v/>
      </c>
      <c r="K103" s="57">
        <f>IFERROR($G103/$F103,"")</f>
        <v/>
      </c>
      <c r="L103" s="40">
        <f>IF($C103="","",IF($C103&gt;='参数配置'!$B$14,"高流量","低流量"))</f>
        <v/>
      </c>
      <c r="M103" s="40">
        <f>IF($J103="","",IF($J103&gt;='参数配置'!$B$15,"高转化","低转化"))</f>
        <v/>
      </c>
      <c r="N103" s="48">
        <f>IF(OR($L103="",$M103=""),"",$L103&amp;$M103)</f>
        <v/>
      </c>
      <c r="O103" s="6">
        <f>IF($N103="","",IF($N103="高流量高转化","主推：加库存/上活动/扩达人/试投流",IF($N103="高流量低转化","查转化：价格/运费/优惠券/主图/详情/评价/客服",IF($N103="低流量高转化","加曝光：达人/短视频/直播/商城活动+秒杀",IF($N103="低流量低转化","下架或改图改标题重测/放弃","")))))</f>
        <v/>
      </c>
      <c r="P103" s="6">
        <f>IF($K103="","",IF($K103&gt;'参数配置'!$B$16,"⚠️退款率偏高·查质量/尺码/物流",""))</f>
        <v/>
      </c>
    </row>
    <row r="104">
      <c r="A104" s="52" t="n"/>
      <c r="B104" s="46">
        <f>IFERROR(VLOOKUP($A104,'SKU主表'!$A:$M,2,0),"")</f>
        <v/>
      </c>
      <c r="C104" s="61" t="n"/>
      <c r="D104" s="61" t="n"/>
      <c r="E104" s="61" t="n"/>
      <c r="F104" s="61" t="n"/>
      <c r="G104" s="61" t="n"/>
      <c r="H104" s="57">
        <f>IFERROR($D104/$C104,"")</f>
        <v/>
      </c>
      <c r="I104" s="57">
        <f>IFERROR($E104/$D104,"")</f>
        <v/>
      </c>
      <c r="J104" s="57">
        <f>IFERROR($F104/$E104,"")</f>
        <v/>
      </c>
      <c r="K104" s="57">
        <f>IFERROR($G104/$F104,"")</f>
        <v/>
      </c>
      <c r="L104" s="40">
        <f>IF($C104="","",IF($C104&gt;='参数配置'!$B$14,"高流量","低流量"))</f>
        <v/>
      </c>
      <c r="M104" s="40">
        <f>IF($J104="","",IF($J104&gt;='参数配置'!$B$15,"高转化","低转化"))</f>
        <v/>
      </c>
      <c r="N104" s="48">
        <f>IF(OR($L104="",$M104=""),"",$L104&amp;$M104)</f>
        <v/>
      </c>
      <c r="O104" s="6">
        <f>IF($N104="","",IF($N104="高流量高转化","主推：加库存/上活动/扩达人/试投流",IF($N104="高流量低转化","查转化：价格/运费/优惠券/主图/详情/评价/客服",IF($N104="低流量高转化","加曝光：达人/短视频/直播/商城活动+秒杀",IF($N104="低流量低转化","下架或改图改标题重测/放弃","")))))</f>
        <v/>
      </c>
      <c r="P104" s="6">
        <f>IF($K104="","",IF($K104&gt;'参数配置'!$B$16,"⚠️退款率偏高·查质量/尺码/物流",""))</f>
        <v/>
      </c>
    </row>
    <row r="105">
      <c r="A105" s="52" t="n"/>
      <c r="B105" s="46">
        <f>IFERROR(VLOOKUP($A105,'SKU主表'!$A:$M,2,0),"")</f>
        <v/>
      </c>
      <c r="C105" s="61" t="n"/>
      <c r="D105" s="61" t="n"/>
      <c r="E105" s="61" t="n"/>
      <c r="F105" s="61" t="n"/>
      <c r="G105" s="61" t="n"/>
      <c r="H105" s="57">
        <f>IFERROR($D105/$C105,"")</f>
        <v/>
      </c>
      <c r="I105" s="57">
        <f>IFERROR($E105/$D105,"")</f>
        <v/>
      </c>
      <c r="J105" s="57">
        <f>IFERROR($F105/$E105,"")</f>
        <v/>
      </c>
      <c r="K105" s="57">
        <f>IFERROR($G105/$F105,"")</f>
        <v/>
      </c>
      <c r="L105" s="40">
        <f>IF($C105="","",IF($C105&gt;='参数配置'!$B$14,"高流量","低流量"))</f>
        <v/>
      </c>
      <c r="M105" s="40">
        <f>IF($J105="","",IF($J105&gt;='参数配置'!$B$15,"高转化","低转化"))</f>
        <v/>
      </c>
      <c r="N105" s="48">
        <f>IF(OR($L105="",$M105=""),"",$L105&amp;$M105)</f>
        <v/>
      </c>
      <c r="O105" s="6">
        <f>IF($N105="","",IF($N105="高流量高转化","主推：加库存/上活动/扩达人/试投流",IF($N105="高流量低转化","查转化：价格/运费/优惠券/主图/详情/评价/客服",IF($N105="低流量高转化","加曝光：达人/短视频/直播/商城活动+秒杀",IF($N105="低流量低转化","下架或改图改标题重测/放弃","")))))</f>
        <v/>
      </c>
      <c r="P105" s="6">
        <f>IF($K105="","",IF($K105&gt;'参数配置'!$B$16,"⚠️退款率偏高·查质量/尺码/物流",""))</f>
        <v/>
      </c>
    </row>
    <row r="106">
      <c r="A106" s="52" t="n"/>
      <c r="B106" s="46">
        <f>IFERROR(VLOOKUP($A106,'SKU主表'!$A:$M,2,0),"")</f>
        <v/>
      </c>
      <c r="C106" s="61" t="n"/>
      <c r="D106" s="61" t="n"/>
      <c r="E106" s="61" t="n"/>
      <c r="F106" s="61" t="n"/>
      <c r="G106" s="61" t="n"/>
      <c r="H106" s="57">
        <f>IFERROR($D106/$C106,"")</f>
        <v/>
      </c>
      <c r="I106" s="57">
        <f>IFERROR($E106/$D106,"")</f>
        <v/>
      </c>
      <c r="J106" s="57">
        <f>IFERROR($F106/$E106,"")</f>
        <v/>
      </c>
      <c r="K106" s="57">
        <f>IFERROR($G106/$F106,"")</f>
        <v/>
      </c>
      <c r="L106" s="40">
        <f>IF($C106="","",IF($C106&gt;='参数配置'!$B$14,"高流量","低流量"))</f>
        <v/>
      </c>
      <c r="M106" s="40">
        <f>IF($J106="","",IF($J106&gt;='参数配置'!$B$15,"高转化","低转化"))</f>
        <v/>
      </c>
      <c r="N106" s="48">
        <f>IF(OR($L106="",$M106=""),"",$L106&amp;$M106)</f>
        <v/>
      </c>
      <c r="O106" s="6">
        <f>IF($N106="","",IF($N106="高流量高转化","主推：加库存/上活动/扩达人/试投流",IF($N106="高流量低转化","查转化：价格/运费/优惠券/主图/详情/评价/客服",IF($N106="低流量高转化","加曝光：达人/短视频/直播/商城活动+秒杀",IF($N106="低流量低转化","下架或改图改标题重测/放弃","")))))</f>
        <v/>
      </c>
      <c r="P106" s="6">
        <f>IF($K106="","",IF($K106&gt;'参数配置'!$B$16,"⚠️退款率偏高·查质量/尺码/物流",""))</f>
        <v/>
      </c>
    </row>
    <row r="107">
      <c r="A107" s="52" t="n"/>
      <c r="B107" s="46">
        <f>IFERROR(VLOOKUP($A107,'SKU主表'!$A:$M,2,0),"")</f>
        <v/>
      </c>
      <c r="C107" s="61" t="n"/>
      <c r="D107" s="61" t="n"/>
      <c r="E107" s="61" t="n"/>
      <c r="F107" s="61" t="n"/>
      <c r="G107" s="61" t="n"/>
      <c r="H107" s="57">
        <f>IFERROR($D107/$C107,"")</f>
        <v/>
      </c>
      <c r="I107" s="57">
        <f>IFERROR($E107/$D107,"")</f>
        <v/>
      </c>
      <c r="J107" s="57">
        <f>IFERROR($F107/$E107,"")</f>
        <v/>
      </c>
      <c r="K107" s="57">
        <f>IFERROR($G107/$F107,"")</f>
        <v/>
      </c>
      <c r="L107" s="40">
        <f>IF($C107="","",IF($C107&gt;='参数配置'!$B$14,"高流量","低流量"))</f>
        <v/>
      </c>
      <c r="M107" s="40">
        <f>IF($J107="","",IF($J107&gt;='参数配置'!$B$15,"高转化","低转化"))</f>
        <v/>
      </c>
      <c r="N107" s="48">
        <f>IF(OR($L107="",$M107=""),"",$L107&amp;$M107)</f>
        <v/>
      </c>
      <c r="O107" s="6">
        <f>IF($N107="","",IF($N107="高流量高转化","主推：加库存/上活动/扩达人/试投流",IF($N107="高流量低转化","查转化：价格/运费/优惠券/主图/详情/评价/客服",IF($N107="低流量高转化","加曝光：达人/短视频/直播/商城活动+秒杀",IF($N107="低流量低转化","下架或改图改标题重测/放弃","")))))</f>
        <v/>
      </c>
      <c r="P107" s="6">
        <f>IF($K107="","",IF($K107&gt;'参数配置'!$B$16,"⚠️退款率偏高·查质量/尺码/物流",""))</f>
        <v/>
      </c>
    </row>
    <row r="108">
      <c r="A108" s="52" t="n"/>
      <c r="B108" s="46">
        <f>IFERROR(VLOOKUP($A108,'SKU主表'!$A:$M,2,0),"")</f>
        <v/>
      </c>
      <c r="C108" s="61" t="n"/>
      <c r="D108" s="61" t="n"/>
      <c r="E108" s="61" t="n"/>
      <c r="F108" s="61" t="n"/>
      <c r="G108" s="61" t="n"/>
      <c r="H108" s="57">
        <f>IFERROR($D108/$C108,"")</f>
        <v/>
      </c>
      <c r="I108" s="57">
        <f>IFERROR($E108/$D108,"")</f>
        <v/>
      </c>
      <c r="J108" s="57">
        <f>IFERROR($F108/$E108,"")</f>
        <v/>
      </c>
      <c r="K108" s="57">
        <f>IFERROR($G108/$F108,"")</f>
        <v/>
      </c>
      <c r="L108" s="40">
        <f>IF($C108="","",IF($C108&gt;='参数配置'!$B$14,"高流量","低流量"))</f>
        <v/>
      </c>
      <c r="M108" s="40">
        <f>IF($J108="","",IF($J108&gt;='参数配置'!$B$15,"高转化","低转化"))</f>
        <v/>
      </c>
      <c r="N108" s="48">
        <f>IF(OR($L108="",$M108=""),"",$L108&amp;$M108)</f>
        <v/>
      </c>
      <c r="O108" s="6">
        <f>IF($N108="","",IF($N108="高流量高转化","主推：加库存/上活动/扩达人/试投流",IF($N108="高流量低转化","查转化：价格/运费/优惠券/主图/详情/评价/客服",IF($N108="低流量高转化","加曝光：达人/短视频/直播/商城活动+秒杀",IF($N108="低流量低转化","下架或改图改标题重测/放弃","")))))</f>
        <v/>
      </c>
      <c r="P108" s="6">
        <f>IF($K108="","",IF($K108&gt;'参数配置'!$B$16,"⚠️退款率偏高·查质量/尺码/物流",""))</f>
        <v/>
      </c>
    </row>
    <row r="109">
      <c r="A109" s="52" t="n"/>
      <c r="B109" s="46">
        <f>IFERROR(VLOOKUP($A109,'SKU主表'!$A:$M,2,0),"")</f>
        <v/>
      </c>
      <c r="C109" s="61" t="n"/>
      <c r="D109" s="61" t="n"/>
      <c r="E109" s="61" t="n"/>
      <c r="F109" s="61" t="n"/>
      <c r="G109" s="61" t="n"/>
      <c r="H109" s="57">
        <f>IFERROR($D109/$C109,"")</f>
        <v/>
      </c>
      <c r="I109" s="57">
        <f>IFERROR($E109/$D109,"")</f>
        <v/>
      </c>
      <c r="J109" s="57">
        <f>IFERROR($F109/$E109,"")</f>
        <v/>
      </c>
      <c r="K109" s="57">
        <f>IFERROR($G109/$F109,"")</f>
        <v/>
      </c>
      <c r="L109" s="40">
        <f>IF($C109="","",IF($C109&gt;='参数配置'!$B$14,"高流量","低流量"))</f>
        <v/>
      </c>
      <c r="M109" s="40">
        <f>IF($J109="","",IF($J109&gt;='参数配置'!$B$15,"高转化","低转化"))</f>
        <v/>
      </c>
      <c r="N109" s="48">
        <f>IF(OR($L109="",$M109=""),"",$L109&amp;$M109)</f>
        <v/>
      </c>
      <c r="O109" s="6">
        <f>IF($N109="","",IF($N109="高流量高转化","主推：加库存/上活动/扩达人/试投流",IF($N109="高流量低转化","查转化：价格/运费/优惠券/主图/详情/评价/客服",IF($N109="低流量高转化","加曝光：达人/短视频/直播/商城活动+秒杀",IF($N109="低流量低转化","下架或改图改标题重测/放弃","")))))</f>
        <v/>
      </c>
      <c r="P109" s="6">
        <f>IF($K109="","",IF($K109&gt;'参数配置'!$B$16,"⚠️退款率偏高·查质量/尺码/物流",""))</f>
        <v/>
      </c>
    </row>
    <row r="110">
      <c r="A110" s="52" t="n"/>
      <c r="B110" s="46">
        <f>IFERROR(VLOOKUP($A110,'SKU主表'!$A:$M,2,0),"")</f>
        <v/>
      </c>
      <c r="C110" s="61" t="n"/>
      <c r="D110" s="61" t="n"/>
      <c r="E110" s="61" t="n"/>
      <c r="F110" s="61" t="n"/>
      <c r="G110" s="61" t="n"/>
      <c r="H110" s="57">
        <f>IFERROR($D110/$C110,"")</f>
        <v/>
      </c>
      <c r="I110" s="57">
        <f>IFERROR($E110/$D110,"")</f>
        <v/>
      </c>
      <c r="J110" s="57">
        <f>IFERROR($F110/$E110,"")</f>
        <v/>
      </c>
      <c r="K110" s="57">
        <f>IFERROR($G110/$F110,"")</f>
        <v/>
      </c>
      <c r="L110" s="40">
        <f>IF($C110="","",IF($C110&gt;='参数配置'!$B$14,"高流量","低流量"))</f>
        <v/>
      </c>
      <c r="M110" s="40">
        <f>IF($J110="","",IF($J110&gt;='参数配置'!$B$15,"高转化","低转化"))</f>
        <v/>
      </c>
      <c r="N110" s="48">
        <f>IF(OR($L110="",$M110=""),"",$L110&amp;$M110)</f>
        <v/>
      </c>
      <c r="O110" s="6">
        <f>IF($N110="","",IF($N110="高流量高转化","主推：加库存/上活动/扩达人/试投流",IF($N110="高流量低转化","查转化：价格/运费/优惠券/主图/详情/评价/客服",IF($N110="低流量高转化","加曝光：达人/短视频/直播/商城活动+秒杀",IF($N110="低流量低转化","下架或改图改标题重测/放弃","")))))</f>
        <v/>
      </c>
      <c r="P110" s="6">
        <f>IF($K110="","",IF($K110&gt;'参数配置'!$B$16,"⚠️退款率偏高·查质量/尺码/物流",""))</f>
        <v/>
      </c>
    </row>
    <row r="111">
      <c r="A111" s="52" t="n"/>
      <c r="B111" s="46">
        <f>IFERROR(VLOOKUP($A111,'SKU主表'!$A:$M,2,0),"")</f>
        <v/>
      </c>
      <c r="C111" s="61" t="n"/>
      <c r="D111" s="61" t="n"/>
      <c r="E111" s="61" t="n"/>
      <c r="F111" s="61" t="n"/>
      <c r="G111" s="61" t="n"/>
      <c r="H111" s="57">
        <f>IFERROR($D111/$C111,"")</f>
        <v/>
      </c>
      <c r="I111" s="57">
        <f>IFERROR($E111/$D111,"")</f>
        <v/>
      </c>
      <c r="J111" s="57">
        <f>IFERROR($F111/$E111,"")</f>
        <v/>
      </c>
      <c r="K111" s="57">
        <f>IFERROR($G111/$F111,"")</f>
        <v/>
      </c>
      <c r="L111" s="40">
        <f>IF($C111="","",IF($C111&gt;='参数配置'!$B$14,"高流量","低流量"))</f>
        <v/>
      </c>
      <c r="M111" s="40">
        <f>IF($J111="","",IF($J111&gt;='参数配置'!$B$15,"高转化","低转化"))</f>
        <v/>
      </c>
      <c r="N111" s="48">
        <f>IF(OR($L111="",$M111=""),"",$L111&amp;$M111)</f>
        <v/>
      </c>
      <c r="O111" s="6">
        <f>IF($N111="","",IF($N111="高流量高转化","主推：加库存/上活动/扩达人/试投流",IF($N111="高流量低转化","查转化：价格/运费/优惠券/主图/详情/评价/客服",IF($N111="低流量高转化","加曝光：达人/短视频/直播/商城活动+秒杀",IF($N111="低流量低转化","下架或改图改标题重测/放弃","")))))</f>
        <v/>
      </c>
      <c r="P111" s="6">
        <f>IF($K111="","",IF($K111&gt;'参数配置'!$B$16,"⚠️退款率偏高·查质量/尺码/物流",""))</f>
        <v/>
      </c>
    </row>
    <row r="112">
      <c r="A112" s="52" t="n"/>
      <c r="B112" s="46">
        <f>IFERROR(VLOOKUP($A112,'SKU主表'!$A:$M,2,0),"")</f>
        <v/>
      </c>
      <c r="C112" s="61" t="n"/>
      <c r="D112" s="61" t="n"/>
      <c r="E112" s="61" t="n"/>
      <c r="F112" s="61" t="n"/>
      <c r="G112" s="61" t="n"/>
      <c r="H112" s="57">
        <f>IFERROR($D112/$C112,"")</f>
        <v/>
      </c>
      <c r="I112" s="57">
        <f>IFERROR($E112/$D112,"")</f>
        <v/>
      </c>
      <c r="J112" s="57">
        <f>IFERROR($F112/$E112,"")</f>
        <v/>
      </c>
      <c r="K112" s="57">
        <f>IFERROR($G112/$F112,"")</f>
        <v/>
      </c>
      <c r="L112" s="40">
        <f>IF($C112="","",IF($C112&gt;='参数配置'!$B$14,"高流量","低流量"))</f>
        <v/>
      </c>
      <c r="M112" s="40">
        <f>IF($J112="","",IF($J112&gt;='参数配置'!$B$15,"高转化","低转化"))</f>
        <v/>
      </c>
      <c r="N112" s="48">
        <f>IF(OR($L112="",$M112=""),"",$L112&amp;$M112)</f>
        <v/>
      </c>
      <c r="O112" s="6">
        <f>IF($N112="","",IF($N112="高流量高转化","主推：加库存/上活动/扩达人/试投流",IF($N112="高流量低转化","查转化：价格/运费/优惠券/主图/详情/评价/客服",IF($N112="低流量高转化","加曝光：达人/短视频/直播/商城活动+秒杀",IF($N112="低流量低转化","下架或改图改标题重测/放弃","")))))</f>
        <v/>
      </c>
      <c r="P112" s="6">
        <f>IF($K112="","",IF($K112&gt;'参数配置'!$B$16,"⚠️退款率偏高·查质量/尺码/物流",""))</f>
        <v/>
      </c>
    </row>
    <row r="113">
      <c r="A113" s="52" t="n"/>
      <c r="B113" s="46">
        <f>IFERROR(VLOOKUP($A113,'SKU主表'!$A:$M,2,0),"")</f>
        <v/>
      </c>
      <c r="C113" s="61" t="n"/>
      <c r="D113" s="61" t="n"/>
      <c r="E113" s="61" t="n"/>
      <c r="F113" s="61" t="n"/>
      <c r="G113" s="61" t="n"/>
      <c r="H113" s="57">
        <f>IFERROR($D113/$C113,"")</f>
        <v/>
      </c>
      <c r="I113" s="57">
        <f>IFERROR($E113/$D113,"")</f>
        <v/>
      </c>
      <c r="J113" s="57">
        <f>IFERROR($F113/$E113,"")</f>
        <v/>
      </c>
      <c r="K113" s="57">
        <f>IFERROR($G113/$F113,"")</f>
        <v/>
      </c>
      <c r="L113" s="40">
        <f>IF($C113="","",IF($C113&gt;='参数配置'!$B$14,"高流量","低流量"))</f>
        <v/>
      </c>
      <c r="M113" s="40">
        <f>IF($J113="","",IF($J113&gt;='参数配置'!$B$15,"高转化","低转化"))</f>
        <v/>
      </c>
      <c r="N113" s="48">
        <f>IF(OR($L113="",$M113=""),"",$L113&amp;$M113)</f>
        <v/>
      </c>
      <c r="O113" s="6">
        <f>IF($N113="","",IF($N113="高流量高转化","主推：加库存/上活动/扩达人/试投流",IF($N113="高流量低转化","查转化：价格/运费/优惠券/主图/详情/评价/客服",IF($N113="低流量高转化","加曝光：达人/短视频/直播/商城活动+秒杀",IF($N113="低流量低转化","下架或改图改标题重测/放弃","")))))</f>
        <v/>
      </c>
      <c r="P113" s="6">
        <f>IF($K113="","",IF($K113&gt;'参数配置'!$B$16,"⚠️退款率偏高·查质量/尺码/物流",""))</f>
        <v/>
      </c>
    </row>
    <row r="114">
      <c r="A114" s="52" t="n"/>
      <c r="B114" s="46">
        <f>IFERROR(VLOOKUP($A114,'SKU主表'!$A:$M,2,0),"")</f>
        <v/>
      </c>
      <c r="C114" s="61" t="n"/>
      <c r="D114" s="61" t="n"/>
      <c r="E114" s="61" t="n"/>
      <c r="F114" s="61" t="n"/>
      <c r="G114" s="61" t="n"/>
      <c r="H114" s="57">
        <f>IFERROR($D114/$C114,"")</f>
        <v/>
      </c>
      <c r="I114" s="57">
        <f>IFERROR($E114/$D114,"")</f>
        <v/>
      </c>
      <c r="J114" s="57">
        <f>IFERROR($F114/$E114,"")</f>
        <v/>
      </c>
      <c r="K114" s="57">
        <f>IFERROR($G114/$F114,"")</f>
        <v/>
      </c>
      <c r="L114" s="40">
        <f>IF($C114="","",IF($C114&gt;='参数配置'!$B$14,"高流量","低流量"))</f>
        <v/>
      </c>
      <c r="M114" s="40">
        <f>IF($J114="","",IF($J114&gt;='参数配置'!$B$15,"高转化","低转化"))</f>
        <v/>
      </c>
      <c r="N114" s="48">
        <f>IF(OR($L114="",$M114=""),"",$L114&amp;$M114)</f>
        <v/>
      </c>
      <c r="O114" s="6">
        <f>IF($N114="","",IF($N114="高流量高转化","主推：加库存/上活动/扩达人/试投流",IF($N114="高流量低转化","查转化：价格/运费/优惠券/主图/详情/评价/客服",IF($N114="低流量高转化","加曝光：达人/短视频/直播/商城活动+秒杀",IF($N114="低流量低转化","下架或改图改标题重测/放弃","")))))</f>
        <v/>
      </c>
      <c r="P114" s="6">
        <f>IF($K114="","",IF($K114&gt;'参数配置'!$B$16,"⚠️退款率偏高·查质量/尺码/物流",""))</f>
        <v/>
      </c>
    </row>
    <row r="115">
      <c r="A115" s="52" t="n"/>
      <c r="B115" s="46">
        <f>IFERROR(VLOOKUP($A115,'SKU主表'!$A:$M,2,0),"")</f>
        <v/>
      </c>
      <c r="C115" s="61" t="n"/>
      <c r="D115" s="61" t="n"/>
      <c r="E115" s="61" t="n"/>
      <c r="F115" s="61" t="n"/>
      <c r="G115" s="61" t="n"/>
      <c r="H115" s="57">
        <f>IFERROR($D115/$C115,"")</f>
        <v/>
      </c>
      <c r="I115" s="57">
        <f>IFERROR($E115/$D115,"")</f>
        <v/>
      </c>
      <c r="J115" s="57">
        <f>IFERROR($F115/$E115,"")</f>
        <v/>
      </c>
      <c r="K115" s="57">
        <f>IFERROR($G115/$F115,"")</f>
        <v/>
      </c>
      <c r="L115" s="40">
        <f>IF($C115="","",IF($C115&gt;='参数配置'!$B$14,"高流量","低流量"))</f>
        <v/>
      </c>
      <c r="M115" s="40">
        <f>IF($J115="","",IF($J115&gt;='参数配置'!$B$15,"高转化","低转化"))</f>
        <v/>
      </c>
      <c r="N115" s="48">
        <f>IF(OR($L115="",$M115=""),"",$L115&amp;$M115)</f>
        <v/>
      </c>
      <c r="O115" s="6">
        <f>IF($N115="","",IF($N115="高流量高转化","主推：加库存/上活动/扩达人/试投流",IF($N115="高流量低转化","查转化：价格/运费/优惠券/主图/详情/评价/客服",IF($N115="低流量高转化","加曝光：达人/短视频/直播/商城活动+秒杀",IF($N115="低流量低转化","下架或改图改标题重测/放弃","")))))</f>
        <v/>
      </c>
      <c r="P115" s="6">
        <f>IF($K115="","",IF($K115&gt;'参数配置'!$B$16,"⚠️退款率偏高·查质量/尺码/物流",""))</f>
        <v/>
      </c>
    </row>
    <row r="116">
      <c r="A116" s="52" t="n"/>
      <c r="B116" s="46">
        <f>IFERROR(VLOOKUP($A116,'SKU主表'!$A:$M,2,0),"")</f>
        <v/>
      </c>
      <c r="C116" s="61" t="n"/>
      <c r="D116" s="61" t="n"/>
      <c r="E116" s="61" t="n"/>
      <c r="F116" s="61" t="n"/>
      <c r="G116" s="61" t="n"/>
      <c r="H116" s="57">
        <f>IFERROR($D116/$C116,"")</f>
        <v/>
      </c>
      <c r="I116" s="57">
        <f>IFERROR($E116/$D116,"")</f>
        <v/>
      </c>
      <c r="J116" s="57">
        <f>IFERROR($F116/$E116,"")</f>
        <v/>
      </c>
      <c r="K116" s="57">
        <f>IFERROR($G116/$F116,"")</f>
        <v/>
      </c>
      <c r="L116" s="40">
        <f>IF($C116="","",IF($C116&gt;='参数配置'!$B$14,"高流量","低流量"))</f>
        <v/>
      </c>
      <c r="M116" s="40">
        <f>IF($J116="","",IF($J116&gt;='参数配置'!$B$15,"高转化","低转化"))</f>
        <v/>
      </c>
      <c r="N116" s="48">
        <f>IF(OR($L116="",$M116=""),"",$L116&amp;$M116)</f>
        <v/>
      </c>
      <c r="O116" s="6">
        <f>IF($N116="","",IF($N116="高流量高转化","主推：加库存/上活动/扩达人/试投流",IF($N116="高流量低转化","查转化：价格/运费/优惠券/主图/详情/评价/客服",IF($N116="低流量高转化","加曝光：达人/短视频/直播/商城活动+秒杀",IF($N116="低流量低转化","下架或改图改标题重测/放弃","")))))</f>
        <v/>
      </c>
      <c r="P116" s="6">
        <f>IF($K116="","",IF($K116&gt;'参数配置'!$B$16,"⚠️退款率偏高·查质量/尺码/物流",""))</f>
        <v/>
      </c>
    </row>
    <row r="117">
      <c r="A117" s="52" t="n"/>
      <c r="B117" s="46">
        <f>IFERROR(VLOOKUP($A117,'SKU主表'!$A:$M,2,0),"")</f>
        <v/>
      </c>
      <c r="C117" s="61" t="n"/>
      <c r="D117" s="61" t="n"/>
      <c r="E117" s="61" t="n"/>
      <c r="F117" s="61" t="n"/>
      <c r="G117" s="61" t="n"/>
      <c r="H117" s="57">
        <f>IFERROR($D117/$C117,"")</f>
        <v/>
      </c>
      <c r="I117" s="57">
        <f>IFERROR($E117/$D117,"")</f>
        <v/>
      </c>
      <c r="J117" s="57">
        <f>IFERROR($F117/$E117,"")</f>
        <v/>
      </c>
      <c r="K117" s="57">
        <f>IFERROR($G117/$F117,"")</f>
        <v/>
      </c>
      <c r="L117" s="40">
        <f>IF($C117="","",IF($C117&gt;='参数配置'!$B$14,"高流量","低流量"))</f>
        <v/>
      </c>
      <c r="M117" s="40">
        <f>IF($J117="","",IF($J117&gt;='参数配置'!$B$15,"高转化","低转化"))</f>
        <v/>
      </c>
      <c r="N117" s="48">
        <f>IF(OR($L117="",$M117=""),"",$L117&amp;$M117)</f>
        <v/>
      </c>
      <c r="O117" s="6">
        <f>IF($N117="","",IF($N117="高流量高转化","主推：加库存/上活动/扩达人/试投流",IF($N117="高流量低转化","查转化：价格/运费/优惠券/主图/详情/评价/客服",IF($N117="低流量高转化","加曝光：达人/短视频/直播/商城活动+秒杀",IF($N117="低流量低转化","下架或改图改标题重测/放弃","")))))</f>
        <v/>
      </c>
      <c r="P117" s="6">
        <f>IF($K117="","",IF($K117&gt;'参数配置'!$B$16,"⚠️退款率偏高·查质量/尺码/物流",""))</f>
        <v/>
      </c>
    </row>
    <row r="118">
      <c r="A118" s="52" t="n"/>
      <c r="B118" s="46">
        <f>IFERROR(VLOOKUP($A118,'SKU主表'!$A:$M,2,0),"")</f>
        <v/>
      </c>
      <c r="C118" s="61" t="n"/>
      <c r="D118" s="61" t="n"/>
      <c r="E118" s="61" t="n"/>
      <c r="F118" s="61" t="n"/>
      <c r="G118" s="61" t="n"/>
      <c r="H118" s="57">
        <f>IFERROR($D118/$C118,"")</f>
        <v/>
      </c>
      <c r="I118" s="57">
        <f>IFERROR($E118/$D118,"")</f>
        <v/>
      </c>
      <c r="J118" s="57">
        <f>IFERROR($F118/$E118,"")</f>
        <v/>
      </c>
      <c r="K118" s="57">
        <f>IFERROR($G118/$F118,"")</f>
        <v/>
      </c>
      <c r="L118" s="40">
        <f>IF($C118="","",IF($C118&gt;='参数配置'!$B$14,"高流量","低流量"))</f>
        <v/>
      </c>
      <c r="M118" s="40">
        <f>IF($J118="","",IF($J118&gt;='参数配置'!$B$15,"高转化","低转化"))</f>
        <v/>
      </c>
      <c r="N118" s="48">
        <f>IF(OR($L118="",$M118=""),"",$L118&amp;$M118)</f>
        <v/>
      </c>
      <c r="O118" s="6">
        <f>IF($N118="","",IF($N118="高流量高转化","主推：加库存/上活动/扩达人/试投流",IF($N118="高流量低转化","查转化：价格/运费/优惠券/主图/详情/评价/客服",IF($N118="低流量高转化","加曝光：达人/短视频/直播/商城活动+秒杀",IF($N118="低流量低转化","下架或改图改标题重测/放弃","")))))</f>
        <v/>
      </c>
      <c r="P118" s="6">
        <f>IF($K118="","",IF($K118&gt;'参数配置'!$B$16,"⚠️退款率偏高·查质量/尺码/物流",""))</f>
        <v/>
      </c>
    </row>
    <row r="119">
      <c r="A119" s="52" t="n"/>
      <c r="B119" s="46">
        <f>IFERROR(VLOOKUP($A119,'SKU主表'!$A:$M,2,0),"")</f>
        <v/>
      </c>
      <c r="C119" s="61" t="n"/>
      <c r="D119" s="61" t="n"/>
      <c r="E119" s="61" t="n"/>
      <c r="F119" s="61" t="n"/>
      <c r="G119" s="61" t="n"/>
      <c r="H119" s="57">
        <f>IFERROR($D119/$C119,"")</f>
        <v/>
      </c>
      <c r="I119" s="57">
        <f>IFERROR($E119/$D119,"")</f>
        <v/>
      </c>
      <c r="J119" s="57">
        <f>IFERROR($F119/$E119,"")</f>
        <v/>
      </c>
      <c r="K119" s="57">
        <f>IFERROR($G119/$F119,"")</f>
        <v/>
      </c>
      <c r="L119" s="40">
        <f>IF($C119="","",IF($C119&gt;='参数配置'!$B$14,"高流量","低流量"))</f>
        <v/>
      </c>
      <c r="M119" s="40">
        <f>IF($J119="","",IF($J119&gt;='参数配置'!$B$15,"高转化","低转化"))</f>
        <v/>
      </c>
      <c r="N119" s="48">
        <f>IF(OR($L119="",$M119=""),"",$L119&amp;$M119)</f>
        <v/>
      </c>
      <c r="O119" s="6">
        <f>IF($N119="","",IF($N119="高流量高转化","主推：加库存/上活动/扩达人/试投流",IF($N119="高流量低转化","查转化：价格/运费/优惠券/主图/详情/评价/客服",IF($N119="低流量高转化","加曝光：达人/短视频/直播/商城活动+秒杀",IF($N119="低流量低转化","下架或改图改标题重测/放弃","")))))</f>
        <v/>
      </c>
      <c r="P119" s="6">
        <f>IF($K119="","",IF($K119&gt;'参数配置'!$B$16,"⚠️退款率偏高·查质量/尺码/物流",""))</f>
        <v/>
      </c>
    </row>
    <row r="120">
      <c r="A120" s="52" t="n"/>
      <c r="B120" s="46">
        <f>IFERROR(VLOOKUP($A120,'SKU主表'!$A:$M,2,0),"")</f>
        <v/>
      </c>
      <c r="C120" s="61" t="n"/>
      <c r="D120" s="61" t="n"/>
      <c r="E120" s="61" t="n"/>
      <c r="F120" s="61" t="n"/>
      <c r="G120" s="61" t="n"/>
      <c r="H120" s="57">
        <f>IFERROR($D120/$C120,"")</f>
        <v/>
      </c>
      <c r="I120" s="57">
        <f>IFERROR($E120/$D120,"")</f>
        <v/>
      </c>
      <c r="J120" s="57">
        <f>IFERROR($F120/$E120,"")</f>
        <v/>
      </c>
      <c r="K120" s="57">
        <f>IFERROR($G120/$F120,"")</f>
        <v/>
      </c>
      <c r="L120" s="40">
        <f>IF($C120="","",IF($C120&gt;='参数配置'!$B$14,"高流量","低流量"))</f>
        <v/>
      </c>
      <c r="M120" s="40">
        <f>IF($J120="","",IF($J120&gt;='参数配置'!$B$15,"高转化","低转化"))</f>
        <v/>
      </c>
      <c r="N120" s="48">
        <f>IF(OR($L120="",$M120=""),"",$L120&amp;$M120)</f>
        <v/>
      </c>
      <c r="O120" s="6">
        <f>IF($N120="","",IF($N120="高流量高转化","主推：加库存/上活动/扩达人/试投流",IF($N120="高流量低转化","查转化：价格/运费/优惠券/主图/详情/评价/客服",IF($N120="低流量高转化","加曝光：达人/短视频/直播/商城活动+秒杀",IF($N120="低流量低转化","下架或改图改标题重测/放弃","")))))</f>
        <v/>
      </c>
      <c r="P120" s="6">
        <f>IF($K120="","",IF($K120&gt;'参数配置'!$B$16,"⚠️退款率偏高·查质量/尺码/物流",""))</f>
        <v/>
      </c>
    </row>
    <row r="121">
      <c r="A121" s="52" t="n"/>
      <c r="B121" s="46">
        <f>IFERROR(VLOOKUP($A121,'SKU主表'!$A:$M,2,0),"")</f>
        <v/>
      </c>
      <c r="C121" s="61" t="n"/>
      <c r="D121" s="61" t="n"/>
      <c r="E121" s="61" t="n"/>
      <c r="F121" s="61" t="n"/>
      <c r="G121" s="61" t="n"/>
      <c r="H121" s="57">
        <f>IFERROR($D121/$C121,"")</f>
        <v/>
      </c>
      <c r="I121" s="57">
        <f>IFERROR($E121/$D121,"")</f>
        <v/>
      </c>
      <c r="J121" s="57">
        <f>IFERROR($F121/$E121,"")</f>
        <v/>
      </c>
      <c r="K121" s="57">
        <f>IFERROR($G121/$F121,"")</f>
        <v/>
      </c>
      <c r="L121" s="40">
        <f>IF($C121="","",IF($C121&gt;='参数配置'!$B$14,"高流量","低流量"))</f>
        <v/>
      </c>
      <c r="M121" s="40">
        <f>IF($J121="","",IF($J121&gt;='参数配置'!$B$15,"高转化","低转化"))</f>
        <v/>
      </c>
      <c r="N121" s="48">
        <f>IF(OR($L121="",$M121=""),"",$L121&amp;$M121)</f>
        <v/>
      </c>
      <c r="O121" s="6">
        <f>IF($N121="","",IF($N121="高流量高转化","主推：加库存/上活动/扩达人/试投流",IF($N121="高流量低转化","查转化：价格/运费/优惠券/主图/详情/评价/客服",IF($N121="低流量高转化","加曝光：达人/短视频/直播/商城活动+秒杀",IF($N121="低流量低转化","下架或改图改标题重测/放弃","")))))</f>
        <v/>
      </c>
      <c r="P121" s="6">
        <f>IF($K121="","",IF($K121&gt;'参数配置'!$B$16,"⚠️退款率偏高·查质量/尺码/物流",""))</f>
        <v/>
      </c>
    </row>
    <row r="122">
      <c r="A122" s="52" t="n"/>
      <c r="B122" s="46">
        <f>IFERROR(VLOOKUP($A122,'SKU主表'!$A:$M,2,0),"")</f>
        <v/>
      </c>
      <c r="C122" s="61" t="n"/>
      <c r="D122" s="61" t="n"/>
      <c r="E122" s="61" t="n"/>
      <c r="F122" s="61" t="n"/>
      <c r="G122" s="61" t="n"/>
      <c r="H122" s="57">
        <f>IFERROR($D122/$C122,"")</f>
        <v/>
      </c>
      <c r="I122" s="57">
        <f>IFERROR($E122/$D122,"")</f>
        <v/>
      </c>
      <c r="J122" s="57">
        <f>IFERROR($F122/$E122,"")</f>
        <v/>
      </c>
      <c r="K122" s="57">
        <f>IFERROR($G122/$F122,"")</f>
        <v/>
      </c>
      <c r="L122" s="40">
        <f>IF($C122="","",IF($C122&gt;='参数配置'!$B$14,"高流量","低流量"))</f>
        <v/>
      </c>
      <c r="M122" s="40">
        <f>IF($J122="","",IF($J122&gt;='参数配置'!$B$15,"高转化","低转化"))</f>
        <v/>
      </c>
      <c r="N122" s="48">
        <f>IF(OR($L122="",$M122=""),"",$L122&amp;$M122)</f>
        <v/>
      </c>
      <c r="O122" s="6">
        <f>IF($N122="","",IF($N122="高流量高转化","主推：加库存/上活动/扩达人/试投流",IF($N122="高流量低转化","查转化：价格/运费/优惠券/主图/详情/评价/客服",IF($N122="低流量高转化","加曝光：达人/短视频/直播/商城活动+秒杀",IF($N122="低流量低转化","下架或改图改标题重测/放弃","")))))</f>
        <v/>
      </c>
      <c r="P122" s="6">
        <f>IF($K122="","",IF($K122&gt;'参数配置'!$B$16,"⚠️退款率偏高·查质量/尺码/物流",""))</f>
        <v/>
      </c>
    </row>
    <row r="123">
      <c r="A123" s="52" t="n"/>
      <c r="B123" s="46">
        <f>IFERROR(VLOOKUP($A123,'SKU主表'!$A:$M,2,0),"")</f>
        <v/>
      </c>
      <c r="C123" s="61" t="n"/>
      <c r="D123" s="61" t="n"/>
      <c r="E123" s="61" t="n"/>
      <c r="F123" s="61" t="n"/>
      <c r="G123" s="61" t="n"/>
      <c r="H123" s="57">
        <f>IFERROR($D123/$C123,"")</f>
        <v/>
      </c>
      <c r="I123" s="57">
        <f>IFERROR($E123/$D123,"")</f>
        <v/>
      </c>
      <c r="J123" s="57">
        <f>IFERROR($F123/$E123,"")</f>
        <v/>
      </c>
      <c r="K123" s="57">
        <f>IFERROR($G123/$F123,"")</f>
        <v/>
      </c>
      <c r="L123" s="40">
        <f>IF($C123="","",IF($C123&gt;='参数配置'!$B$14,"高流量","低流量"))</f>
        <v/>
      </c>
      <c r="M123" s="40">
        <f>IF($J123="","",IF($J123&gt;='参数配置'!$B$15,"高转化","低转化"))</f>
        <v/>
      </c>
      <c r="N123" s="48">
        <f>IF(OR($L123="",$M123=""),"",$L123&amp;$M123)</f>
        <v/>
      </c>
      <c r="O123" s="6">
        <f>IF($N123="","",IF($N123="高流量高转化","主推：加库存/上活动/扩达人/试投流",IF($N123="高流量低转化","查转化：价格/运费/优惠券/主图/详情/评价/客服",IF($N123="低流量高转化","加曝光：达人/短视频/直播/商城活动+秒杀",IF($N123="低流量低转化","下架或改图改标题重测/放弃","")))))</f>
        <v/>
      </c>
      <c r="P123" s="6">
        <f>IF($K123="","",IF($K123&gt;'参数配置'!$B$16,"⚠️退款率偏高·查质量/尺码/物流",""))</f>
        <v/>
      </c>
    </row>
    <row r="124">
      <c r="A124" s="52" t="n"/>
      <c r="B124" s="46">
        <f>IFERROR(VLOOKUP($A124,'SKU主表'!$A:$M,2,0),"")</f>
        <v/>
      </c>
      <c r="C124" s="61" t="n"/>
      <c r="D124" s="61" t="n"/>
      <c r="E124" s="61" t="n"/>
      <c r="F124" s="61" t="n"/>
      <c r="G124" s="61" t="n"/>
      <c r="H124" s="57">
        <f>IFERROR($D124/$C124,"")</f>
        <v/>
      </c>
      <c r="I124" s="57">
        <f>IFERROR($E124/$D124,"")</f>
        <v/>
      </c>
      <c r="J124" s="57">
        <f>IFERROR($F124/$E124,"")</f>
        <v/>
      </c>
      <c r="K124" s="57">
        <f>IFERROR($G124/$F124,"")</f>
        <v/>
      </c>
      <c r="L124" s="40">
        <f>IF($C124="","",IF($C124&gt;='参数配置'!$B$14,"高流量","低流量"))</f>
        <v/>
      </c>
      <c r="M124" s="40">
        <f>IF($J124="","",IF($J124&gt;='参数配置'!$B$15,"高转化","低转化"))</f>
        <v/>
      </c>
      <c r="N124" s="48">
        <f>IF(OR($L124="",$M124=""),"",$L124&amp;$M124)</f>
        <v/>
      </c>
      <c r="O124" s="6">
        <f>IF($N124="","",IF($N124="高流量高转化","主推：加库存/上活动/扩达人/试投流",IF($N124="高流量低转化","查转化：价格/运费/优惠券/主图/详情/评价/客服",IF($N124="低流量高转化","加曝光：达人/短视频/直播/商城活动+秒杀",IF($N124="低流量低转化","下架或改图改标题重测/放弃","")))))</f>
        <v/>
      </c>
      <c r="P124" s="6">
        <f>IF($K124="","",IF($K124&gt;'参数配置'!$B$16,"⚠️退款率偏高·查质量/尺码/物流",""))</f>
        <v/>
      </c>
    </row>
    <row r="125">
      <c r="A125" s="52" t="n"/>
      <c r="B125" s="46">
        <f>IFERROR(VLOOKUP($A125,'SKU主表'!$A:$M,2,0),"")</f>
        <v/>
      </c>
      <c r="C125" s="61" t="n"/>
      <c r="D125" s="61" t="n"/>
      <c r="E125" s="61" t="n"/>
      <c r="F125" s="61" t="n"/>
      <c r="G125" s="61" t="n"/>
      <c r="H125" s="57">
        <f>IFERROR($D125/$C125,"")</f>
        <v/>
      </c>
      <c r="I125" s="57">
        <f>IFERROR($E125/$D125,"")</f>
        <v/>
      </c>
      <c r="J125" s="57">
        <f>IFERROR($F125/$E125,"")</f>
        <v/>
      </c>
      <c r="K125" s="57">
        <f>IFERROR($G125/$F125,"")</f>
        <v/>
      </c>
      <c r="L125" s="40">
        <f>IF($C125="","",IF($C125&gt;='参数配置'!$B$14,"高流量","低流量"))</f>
        <v/>
      </c>
      <c r="M125" s="40">
        <f>IF($J125="","",IF($J125&gt;='参数配置'!$B$15,"高转化","低转化"))</f>
        <v/>
      </c>
      <c r="N125" s="48">
        <f>IF(OR($L125="",$M125=""),"",$L125&amp;$M125)</f>
        <v/>
      </c>
      <c r="O125" s="6">
        <f>IF($N125="","",IF($N125="高流量高转化","主推：加库存/上活动/扩达人/试投流",IF($N125="高流量低转化","查转化：价格/运费/优惠券/主图/详情/评价/客服",IF($N125="低流量高转化","加曝光：达人/短视频/直播/商城活动+秒杀",IF($N125="低流量低转化","下架或改图改标题重测/放弃","")))))</f>
        <v/>
      </c>
      <c r="P125" s="6">
        <f>IF($K125="","",IF($K125&gt;'参数配置'!$B$16,"⚠️退款率偏高·查质量/尺码/物流",""))</f>
        <v/>
      </c>
    </row>
    <row r="126">
      <c r="A126" s="52" t="n"/>
      <c r="B126" s="46">
        <f>IFERROR(VLOOKUP($A126,'SKU主表'!$A:$M,2,0),"")</f>
        <v/>
      </c>
      <c r="C126" s="61" t="n"/>
      <c r="D126" s="61" t="n"/>
      <c r="E126" s="61" t="n"/>
      <c r="F126" s="61" t="n"/>
      <c r="G126" s="61" t="n"/>
      <c r="H126" s="57">
        <f>IFERROR($D126/$C126,"")</f>
        <v/>
      </c>
      <c r="I126" s="57">
        <f>IFERROR($E126/$D126,"")</f>
        <v/>
      </c>
      <c r="J126" s="57">
        <f>IFERROR($F126/$E126,"")</f>
        <v/>
      </c>
      <c r="K126" s="57">
        <f>IFERROR($G126/$F126,"")</f>
        <v/>
      </c>
      <c r="L126" s="40">
        <f>IF($C126="","",IF($C126&gt;='参数配置'!$B$14,"高流量","低流量"))</f>
        <v/>
      </c>
      <c r="M126" s="40">
        <f>IF($J126="","",IF($J126&gt;='参数配置'!$B$15,"高转化","低转化"))</f>
        <v/>
      </c>
      <c r="N126" s="48">
        <f>IF(OR($L126="",$M126=""),"",$L126&amp;$M126)</f>
        <v/>
      </c>
      <c r="O126" s="6">
        <f>IF($N126="","",IF($N126="高流量高转化","主推：加库存/上活动/扩达人/试投流",IF($N126="高流量低转化","查转化：价格/运费/优惠券/主图/详情/评价/客服",IF($N126="低流量高转化","加曝光：达人/短视频/直播/商城活动+秒杀",IF($N126="低流量低转化","下架或改图改标题重测/放弃","")))))</f>
        <v/>
      </c>
      <c r="P126" s="6">
        <f>IF($K126="","",IF($K126&gt;'参数配置'!$B$16,"⚠️退款率偏高·查质量/尺码/物流",""))</f>
        <v/>
      </c>
    </row>
    <row r="127">
      <c r="A127" s="52" t="n"/>
      <c r="B127" s="46">
        <f>IFERROR(VLOOKUP($A127,'SKU主表'!$A:$M,2,0),"")</f>
        <v/>
      </c>
      <c r="C127" s="61" t="n"/>
      <c r="D127" s="61" t="n"/>
      <c r="E127" s="61" t="n"/>
      <c r="F127" s="61" t="n"/>
      <c r="G127" s="61" t="n"/>
      <c r="H127" s="57">
        <f>IFERROR($D127/$C127,"")</f>
        <v/>
      </c>
      <c r="I127" s="57">
        <f>IFERROR($E127/$D127,"")</f>
        <v/>
      </c>
      <c r="J127" s="57">
        <f>IFERROR($F127/$E127,"")</f>
        <v/>
      </c>
      <c r="K127" s="57">
        <f>IFERROR($G127/$F127,"")</f>
        <v/>
      </c>
      <c r="L127" s="40">
        <f>IF($C127="","",IF($C127&gt;='参数配置'!$B$14,"高流量","低流量"))</f>
        <v/>
      </c>
      <c r="M127" s="40">
        <f>IF($J127="","",IF($J127&gt;='参数配置'!$B$15,"高转化","低转化"))</f>
        <v/>
      </c>
      <c r="N127" s="48">
        <f>IF(OR($L127="",$M127=""),"",$L127&amp;$M127)</f>
        <v/>
      </c>
      <c r="O127" s="6">
        <f>IF($N127="","",IF($N127="高流量高转化","主推：加库存/上活动/扩达人/试投流",IF($N127="高流量低转化","查转化：价格/运费/优惠券/主图/详情/评价/客服",IF($N127="低流量高转化","加曝光：达人/短视频/直播/商城活动+秒杀",IF($N127="低流量低转化","下架或改图改标题重测/放弃","")))))</f>
        <v/>
      </c>
      <c r="P127" s="6">
        <f>IF($K127="","",IF($K127&gt;'参数配置'!$B$16,"⚠️退款率偏高·查质量/尺码/物流",""))</f>
        <v/>
      </c>
    </row>
    <row r="128">
      <c r="A128" s="52" t="n"/>
      <c r="B128" s="46">
        <f>IFERROR(VLOOKUP($A128,'SKU主表'!$A:$M,2,0),"")</f>
        <v/>
      </c>
      <c r="C128" s="61" t="n"/>
      <c r="D128" s="61" t="n"/>
      <c r="E128" s="61" t="n"/>
      <c r="F128" s="61" t="n"/>
      <c r="G128" s="61" t="n"/>
      <c r="H128" s="57">
        <f>IFERROR($D128/$C128,"")</f>
        <v/>
      </c>
      <c r="I128" s="57">
        <f>IFERROR($E128/$D128,"")</f>
        <v/>
      </c>
      <c r="J128" s="57">
        <f>IFERROR($F128/$E128,"")</f>
        <v/>
      </c>
      <c r="K128" s="57">
        <f>IFERROR($G128/$F128,"")</f>
        <v/>
      </c>
      <c r="L128" s="40">
        <f>IF($C128="","",IF($C128&gt;='参数配置'!$B$14,"高流量","低流量"))</f>
        <v/>
      </c>
      <c r="M128" s="40">
        <f>IF($J128="","",IF($J128&gt;='参数配置'!$B$15,"高转化","低转化"))</f>
        <v/>
      </c>
      <c r="N128" s="48">
        <f>IF(OR($L128="",$M128=""),"",$L128&amp;$M128)</f>
        <v/>
      </c>
      <c r="O128" s="6">
        <f>IF($N128="","",IF($N128="高流量高转化","主推：加库存/上活动/扩达人/试投流",IF($N128="高流量低转化","查转化：价格/运费/优惠券/主图/详情/评价/客服",IF($N128="低流量高转化","加曝光：达人/短视频/直播/商城活动+秒杀",IF($N128="低流量低转化","下架或改图改标题重测/放弃","")))))</f>
        <v/>
      </c>
      <c r="P128" s="6">
        <f>IF($K128="","",IF($K128&gt;'参数配置'!$B$16,"⚠️退款率偏高·查质量/尺码/物流",""))</f>
        <v/>
      </c>
    </row>
    <row r="129">
      <c r="A129" s="52" t="n"/>
      <c r="B129" s="46">
        <f>IFERROR(VLOOKUP($A129,'SKU主表'!$A:$M,2,0),"")</f>
        <v/>
      </c>
      <c r="C129" s="61" t="n"/>
      <c r="D129" s="61" t="n"/>
      <c r="E129" s="61" t="n"/>
      <c r="F129" s="61" t="n"/>
      <c r="G129" s="61" t="n"/>
      <c r="H129" s="57">
        <f>IFERROR($D129/$C129,"")</f>
        <v/>
      </c>
      <c r="I129" s="57">
        <f>IFERROR($E129/$D129,"")</f>
        <v/>
      </c>
      <c r="J129" s="57">
        <f>IFERROR($F129/$E129,"")</f>
        <v/>
      </c>
      <c r="K129" s="57">
        <f>IFERROR($G129/$F129,"")</f>
        <v/>
      </c>
      <c r="L129" s="40">
        <f>IF($C129="","",IF($C129&gt;='参数配置'!$B$14,"高流量","低流量"))</f>
        <v/>
      </c>
      <c r="M129" s="40">
        <f>IF($J129="","",IF($J129&gt;='参数配置'!$B$15,"高转化","低转化"))</f>
        <v/>
      </c>
      <c r="N129" s="48">
        <f>IF(OR($L129="",$M129=""),"",$L129&amp;$M129)</f>
        <v/>
      </c>
      <c r="O129" s="6">
        <f>IF($N129="","",IF($N129="高流量高转化","主推：加库存/上活动/扩达人/试投流",IF($N129="高流量低转化","查转化：价格/运费/优惠券/主图/详情/评价/客服",IF($N129="低流量高转化","加曝光：达人/短视频/直播/商城活动+秒杀",IF($N129="低流量低转化","下架或改图改标题重测/放弃","")))))</f>
        <v/>
      </c>
      <c r="P129" s="6">
        <f>IF($K129="","",IF($K129&gt;'参数配置'!$B$16,"⚠️退款率偏高·查质量/尺码/物流",""))</f>
        <v/>
      </c>
    </row>
    <row r="130">
      <c r="A130" s="52" t="n"/>
      <c r="B130" s="46">
        <f>IFERROR(VLOOKUP($A130,'SKU主表'!$A:$M,2,0),"")</f>
        <v/>
      </c>
      <c r="C130" s="61" t="n"/>
      <c r="D130" s="61" t="n"/>
      <c r="E130" s="61" t="n"/>
      <c r="F130" s="61" t="n"/>
      <c r="G130" s="61" t="n"/>
      <c r="H130" s="57">
        <f>IFERROR($D130/$C130,"")</f>
        <v/>
      </c>
      <c r="I130" s="57">
        <f>IFERROR($E130/$D130,"")</f>
        <v/>
      </c>
      <c r="J130" s="57">
        <f>IFERROR($F130/$E130,"")</f>
        <v/>
      </c>
      <c r="K130" s="57">
        <f>IFERROR($G130/$F130,"")</f>
        <v/>
      </c>
      <c r="L130" s="40">
        <f>IF($C130="","",IF($C130&gt;='参数配置'!$B$14,"高流量","低流量"))</f>
        <v/>
      </c>
      <c r="M130" s="40">
        <f>IF($J130="","",IF($J130&gt;='参数配置'!$B$15,"高转化","低转化"))</f>
        <v/>
      </c>
      <c r="N130" s="48">
        <f>IF(OR($L130="",$M130=""),"",$L130&amp;$M130)</f>
        <v/>
      </c>
      <c r="O130" s="6">
        <f>IF($N130="","",IF($N130="高流量高转化","主推：加库存/上活动/扩达人/试投流",IF($N130="高流量低转化","查转化：价格/运费/优惠券/主图/详情/评价/客服",IF($N130="低流量高转化","加曝光：达人/短视频/直播/商城活动+秒杀",IF($N130="低流量低转化","下架或改图改标题重测/放弃","")))))</f>
        <v/>
      </c>
      <c r="P130" s="6">
        <f>IF($K130="","",IF($K130&gt;'参数配置'!$B$16,"⚠️退款率偏高·查质量/尺码/物流",""))</f>
        <v/>
      </c>
    </row>
    <row r="131">
      <c r="A131" s="52" t="n"/>
      <c r="B131" s="46">
        <f>IFERROR(VLOOKUP($A131,'SKU主表'!$A:$M,2,0),"")</f>
        <v/>
      </c>
      <c r="C131" s="61" t="n"/>
      <c r="D131" s="61" t="n"/>
      <c r="E131" s="61" t="n"/>
      <c r="F131" s="61" t="n"/>
      <c r="G131" s="61" t="n"/>
      <c r="H131" s="57">
        <f>IFERROR($D131/$C131,"")</f>
        <v/>
      </c>
      <c r="I131" s="57">
        <f>IFERROR($E131/$D131,"")</f>
        <v/>
      </c>
      <c r="J131" s="57">
        <f>IFERROR($F131/$E131,"")</f>
        <v/>
      </c>
      <c r="K131" s="57">
        <f>IFERROR($G131/$F131,"")</f>
        <v/>
      </c>
      <c r="L131" s="40">
        <f>IF($C131="","",IF($C131&gt;='参数配置'!$B$14,"高流量","低流量"))</f>
        <v/>
      </c>
      <c r="M131" s="40">
        <f>IF($J131="","",IF($J131&gt;='参数配置'!$B$15,"高转化","低转化"))</f>
        <v/>
      </c>
      <c r="N131" s="48">
        <f>IF(OR($L131="",$M131=""),"",$L131&amp;$M131)</f>
        <v/>
      </c>
      <c r="O131" s="6">
        <f>IF($N131="","",IF($N131="高流量高转化","主推：加库存/上活动/扩达人/试投流",IF($N131="高流量低转化","查转化：价格/运费/优惠券/主图/详情/评价/客服",IF($N131="低流量高转化","加曝光：达人/短视频/直播/商城活动+秒杀",IF($N131="低流量低转化","下架或改图改标题重测/放弃","")))))</f>
        <v/>
      </c>
      <c r="P131" s="6">
        <f>IF($K131="","",IF($K131&gt;'参数配置'!$B$16,"⚠️退款率偏高·查质量/尺码/物流",""))</f>
        <v/>
      </c>
    </row>
    <row r="132">
      <c r="A132" s="52" t="n"/>
      <c r="B132" s="46">
        <f>IFERROR(VLOOKUP($A132,'SKU主表'!$A:$M,2,0),"")</f>
        <v/>
      </c>
      <c r="C132" s="61" t="n"/>
      <c r="D132" s="61" t="n"/>
      <c r="E132" s="61" t="n"/>
      <c r="F132" s="61" t="n"/>
      <c r="G132" s="61" t="n"/>
      <c r="H132" s="57">
        <f>IFERROR($D132/$C132,"")</f>
        <v/>
      </c>
      <c r="I132" s="57">
        <f>IFERROR($E132/$D132,"")</f>
        <v/>
      </c>
      <c r="J132" s="57">
        <f>IFERROR($F132/$E132,"")</f>
        <v/>
      </c>
      <c r="K132" s="57">
        <f>IFERROR($G132/$F132,"")</f>
        <v/>
      </c>
      <c r="L132" s="40">
        <f>IF($C132="","",IF($C132&gt;='参数配置'!$B$14,"高流量","低流量"))</f>
        <v/>
      </c>
      <c r="M132" s="40">
        <f>IF($J132="","",IF($J132&gt;='参数配置'!$B$15,"高转化","低转化"))</f>
        <v/>
      </c>
      <c r="N132" s="48">
        <f>IF(OR($L132="",$M132=""),"",$L132&amp;$M132)</f>
        <v/>
      </c>
      <c r="O132" s="6">
        <f>IF($N132="","",IF($N132="高流量高转化","主推：加库存/上活动/扩达人/试投流",IF($N132="高流量低转化","查转化：价格/运费/优惠券/主图/详情/评价/客服",IF($N132="低流量高转化","加曝光：达人/短视频/直播/商城活动+秒杀",IF($N132="低流量低转化","下架或改图改标题重测/放弃","")))))</f>
        <v/>
      </c>
      <c r="P132" s="6">
        <f>IF($K132="","",IF($K132&gt;'参数配置'!$B$16,"⚠️退款率偏高·查质量/尺码/物流",""))</f>
        <v/>
      </c>
    </row>
    <row r="133">
      <c r="A133" s="52" t="n"/>
      <c r="B133" s="46">
        <f>IFERROR(VLOOKUP($A133,'SKU主表'!$A:$M,2,0),"")</f>
        <v/>
      </c>
      <c r="C133" s="61" t="n"/>
      <c r="D133" s="61" t="n"/>
      <c r="E133" s="61" t="n"/>
      <c r="F133" s="61" t="n"/>
      <c r="G133" s="61" t="n"/>
      <c r="H133" s="57">
        <f>IFERROR($D133/$C133,"")</f>
        <v/>
      </c>
      <c r="I133" s="57">
        <f>IFERROR($E133/$D133,"")</f>
        <v/>
      </c>
      <c r="J133" s="57">
        <f>IFERROR($F133/$E133,"")</f>
        <v/>
      </c>
      <c r="K133" s="57">
        <f>IFERROR($G133/$F133,"")</f>
        <v/>
      </c>
      <c r="L133" s="40">
        <f>IF($C133="","",IF($C133&gt;='参数配置'!$B$14,"高流量","低流量"))</f>
        <v/>
      </c>
      <c r="M133" s="40">
        <f>IF($J133="","",IF($J133&gt;='参数配置'!$B$15,"高转化","低转化"))</f>
        <v/>
      </c>
      <c r="N133" s="48">
        <f>IF(OR($L133="",$M133=""),"",$L133&amp;$M133)</f>
        <v/>
      </c>
      <c r="O133" s="6">
        <f>IF($N133="","",IF($N133="高流量高转化","主推：加库存/上活动/扩达人/试投流",IF($N133="高流量低转化","查转化：价格/运费/优惠券/主图/详情/评价/客服",IF($N133="低流量高转化","加曝光：达人/短视频/直播/商城活动+秒杀",IF($N133="低流量低转化","下架或改图改标题重测/放弃","")))))</f>
        <v/>
      </c>
      <c r="P133" s="6">
        <f>IF($K133="","",IF($K133&gt;'参数配置'!$B$16,"⚠️退款率偏高·查质量/尺码/物流",""))</f>
        <v/>
      </c>
    </row>
    <row r="134">
      <c r="A134" s="52" t="n"/>
      <c r="B134" s="46">
        <f>IFERROR(VLOOKUP($A134,'SKU主表'!$A:$M,2,0),"")</f>
        <v/>
      </c>
      <c r="C134" s="61" t="n"/>
      <c r="D134" s="61" t="n"/>
      <c r="E134" s="61" t="n"/>
      <c r="F134" s="61" t="n"/>
      <c r="G134" s="61" t="n"/>
      <c r="H134" s="57">
        <f>IFERROR($D134/$C134,"")</f>
        <v/>
      </c>
      <c r="I134" s="57">
        <f>IFERROR($E134/$D134,"")</f>
        <v/>
      </c>
      <c r="J134" s="57">
        <f>IFERROR($F134/$E134,"")</f>
        <v/>
      </c>
      <c r="K134" s="57">
        <f>IFERROR($G134/$F134,"")</f>
        <v/>
      </c>
      <c r="L134" s="40">
        <f>IF($C134="","",IF($C134&gt;='参数配置'!$B$14,"高流量","低流量"))</f>
        <v/>
      </c>
      <c r="M134" s="40">
        <f>IF($J134="","",IF($J134&gt;='参数配置'!$B$15,"高转化","低转化"))</f>
        <v/>
      </c>
      <c r="N134" s="48">
        <f>IF(OR($L134="",$M134=""),"",$L134&amp;$M134)</f>
        <v/>
      </c>
      <c r="O134" s="6">
        <f>IF($N134="","",IF($N134="高流量高转化","主推：加库存/上活动/扩达人/试投流",IF($N134="高流量低转化","查转化：价格/运费/优惠券/主图/详情/评价/客服",IF($N134="低流量高转化","加曝光：达人/短视频/直播/商城活动+秒杀",IF($N134="低流量低转化","下架或改图改标题重测/放弃","")))))</f>
        <v/>
      </c>
      <c r="P134" s="6">
        <f>IF($K134="","",IF($K134&gt;'参数配置'!$B$16,"⚠️退款率偏高·查质量/尺码/物流",""))</f>
        <v/>
      </c>
    </row>
    <row r="135">
      <c r="A135" s="52" t="n"/>
      <c r="B135" s="46">
        <f>IFERROR(VLOOKUP($A135,'SKU主表'!$A:$M,2,0),"")</f>
        <v/>
      </c>
      <c r="C135" s="61" t="n"/>
      <c r="D135" s="61" t="n"/>
      <c r="E135" s="61" t="n"/>
      <c r="F135" s="61" t="n"/>
      <c r="G135" s="61" t="n"/>
      <c r="H135" s="57">
        <f>IFERROR($D135/$C135,"")</f>
        <v/>
      </c>
      <c r="I135" s="57">
        <f>IFERROR($E135/$D135,"")</f>
        <v/>
      </c>
      <c r="J135" s="57">
        <f>IFERROR($F135/$E135,"")</f>
        <v/>
      </c>
      <c r="K135" s="57">
        <f>IFERROR($G135/$F135,"")</f>
        <v/>
      </c>
      <c r="L135" s="40">
        <f>IF($C135="","",IF($C135&gt;='参数配置'!$B$14,"高流量","低流量"))</f>
        <v/>
      </c>
      <c r="M135" s="40">
        <f>IF($J135="","",IF($J135&gt;='参数配置'!$B$15,"高转化","低转化"))</f>
        <v/>
      </c>
      <c r="N135" s="48">
        <f>IF(OR($L135="",$M135=""),"",$L135&amp;$M135)</f>
        <v/>
      </c>
      <c r="O135" s="6">
        <f>IF($N135="","",IF($N135="高流量高转化","主推：加库存/上活动/扩达人/试投流",IF($N135="高流量低转化","查转化：价格/运费/优惠券/主图/详情/评价/客服",IF($N135="低流量高转化","加曝光：达人/短视频/直播/商城活动+秒杀",IF($N135="低流量低转化","下架或改图改标题重测/放弃","")))))</f>
        <v/>
      </c>
      <c r="P135" s="6">
        <f>IF($K135="","",IF($K135&gt;'参数配置'!$B$16,"⚠️退款率偏高·查质量/尺码/物流",""))</f>
        <v/>
      </c>
    </row>
    <row r="136">
      <c r="A136" s="52" t="n"/>
      <c r="B136" s="46">
        <f>IFERROR(VLOOKUP($A136,'SKU主表'!$A:$M,2,0),"")</f>
        <v/>
      </c>
      <c r="C136" s="61" t="n"/>
      <c r="D136" s="61" t="n"/>
      <c r="E136" s="61" t="n"/>
      <c r="F136" s="61" t="n"/>
      <c r="G136" s="61" t="n"/>
      <c r="H136" s="57">
        <f>IFERROR($D136/$C136,"")</f>
        <v/>
      </c>
      <c r="I136" s="57">
        <f>IFERROR($E136/$D136,"")</f>
        <v/>
      </c>
      <c r="J136" s="57">
        <f>IFERROR($F136/$E136,"")</f>
        <v/>
      </c>
      <c r="K136" s="57">
        <f>IFERROR($G136/$F136,"")</f>
        <v/>
      </c>
      <c r="L136" s="40">
        <f>IF($C136="","",IF($C136&gt;='参数配置'!$B$14,"高流量","低流量"))</f>
        <v/>
      </c>
      <c r="M136" s="40">
        <f>IF($J136="","",IF($J136&gt;='参数配置'!$B$15,"高转化","低转化"))</f>
        <v/>
      </c>
      <c r="N136" s="48">
        <f>IF(OR($L136="",$M136=""),"",$L136&amp;$M136)</f>
        <v/>
      </c>
      <c r="O136" s="6">
        <f>IF($N136="","",IF($N136="高流量高转化","主推：加库存/上活动/扩达人/试投流",IF($N136="高流量低转化","查转化：价格/运费/优惠券/主图/详情/评价/客服",IF($N136="低流量高转化","加曝光：达人/短视频/直播/商城活动+秒杀",IF($N136="低流量低转化","下架或改图改标题重测/放弃","")))))</f>
        <v/>
      </c>
      <c r="P136" s="6">
        <f>IF($K136="","",IF($K136&gt;'参数配置'!$B$16,"⚠️退款率偏高·查质量/尺码/物流",""))</f>
        <v/>
      </c>
    </row>
    <row r="137">
      <c r="A137" s="52" t="n"/>
      <c r="B137" s="46">
        <f>IFERROR(VLOOKUP($A137,'SKU主表'!$A:$M,2,0),"")</f>
        <v/>
      </c>
      <c r="C137" s="61" t="n"/>
      <c r="D137" s="61" t="n"/>
      <c r="E137" s="61" t="n"/>
      <c r="F137" s="61" t="n"/>
      <c r="G137" s="61" t="n"/>
      <c r="H137" s="57">
        <f>IFERROR($D137/$C137,"")</f>
        <v/>
      </c>
      <c r="I137" s="57">
        <f>IFERROR($E137/$D137,"")</f>
        <v/>
      </c>
      <c r="J137" s="57">
        <f>IFERROR($F137/$E137,"")</f>
        <v/>
      </c>
      <c r="K137" s="57">
        <f>IFERROR($G137/$F137,"")</f>
        <v/>
      </c>
      <c r="L137" s="40">
        <f>IF($C137="","",IF($C137&gt;='参数配置'!$B$14,"高流量","低流量"))</f>
        <v/>
      </c>
      <c r="M137" s="40">
        <f>IF($J137="","",IF($J137&gt;='参数配置'!$B$15,"高转化","低转化"))</f>
        <v/>
      </c>
      <c r="N137" s="48">
        <f>IF(OR($L137="",$M137=""),"",$L137&amp;$M137)</f>
        <v/>
      </c>
      <c r="O137" s="6">
        <f>IF($N137="","",IF($N137="高流量高转化","主推：加库存/上活动/扩达人/试投流",IF($N137="高流量低转化","查转化：价格/运费/优惠券/主图/详情/评价/客服",IF($N137="低流量高转化","加曝光：达人/短视频/直播/商城活动+秒杀",IF($N137="低流量低转化","下架或改图改标题重测/放弃","")))))</f>
        <v/>
      </c>
      <c r="P137" s="6">
        <f>IF($K137="","",IF($K137&gt;'参数配置'!$B$16,"⚠️退款率偏高·查质量/尺码/物流",""))</f>
        <v/>
      </c>
    </row>
    <row r="138">
      <c r="A138" s="52" t="n"/>
      <c r="B138" s="46">
        <f>IFERROR(VLOOKUP($A138,'SKU主表'!$A:$M,2,0),"")</f>
        <v/>
      </c>
      <c r="C138" s="61" t="n"/>
      <c r="D138" s="61" t="n"/>
      <c r="E138" s="61" t="n"/>
      <c r="F138" s="61" t="n"/>
      <c r="G138" s="61" t="n"/>
      <c r="H138" s="57">
        <f>IFERROR($D138/$C138,"")</f>
        <v/>
      </c>
      <c r="I138" s="57">
        <f>IFERROR($E138/$D138,"")</f>
        <v/>
      </c>
      <c r="J138" s="57">
        <f>IFERROR($F138/$E138,"")</f>
        <v/>
      </c>
      <c r="K138" s="57">
        <f>IFERROR($G138/$F138,"")</f>
        <v/>
      </c>
      <c r="L138" s="40">
        <f>IF($C138="","",IF($C138&gt;='参数配置'!$B$14,"高流量","低流量"))</f>
        <v/>
      </c>
      <c r="M138" s="40">
        <f>IF($J138="","",IF($J138&gt;='参数配置'!$B$15,"高转化","低转化"))</f>
        <v/>
      </c>
      <c r="N138" s="48">
        <f>IF(OR($L138="",$M138=""),"",$L138&amp;$M138)</f>
        <v/>
      </c>
      <c r="O138" s="6">
        <f>IF($N138="","",IF($N138="高流量高转化","主推：加库存/上活动/扩达人/试投流",IF($N138="高流量低转化","查转化：价格/运费/优惠券/主图/详情/评价/客服",IF($N138="低流量高转化","加曝光：达人/短视频/直播/商城活动+秒杀",IF($N138="低流量低转化","下架或改图改标题重测/放弃","")))))</f>
        <v/>
      </c>
      <c r="P138" s="6">
        <f>IF($K138="","",IF($K138&gt;'参数配置'!$B$16,"⚠️退款率偏高·查质量/尺码/物流",""))</f>
        <v/>
      </c>
    </row>
    <row r="139">
      <c r="A139" s="52" t="n"/>
      <c r="B139" s="46">
        <f>IFERROR(VLOOKUP($A139,'SKU主表'!$A:$M,2,0),"")</f>
        <v/>
      </c>
      <c r="C139" s="61" t="n"/>
      <c r="D139" s="61" t="n"/>
      <c r="E139" s="61" t="n"/>
      <c r="F139" s="61" t="n"/>
      <c r="G139" s="61" t="n"/>
      <c r="H139" s="57">
        <f>IFERROR($D139/$C139,"")</f>
        <v/>
      </c>
      <c r="I139" s="57">
        <f>IFERROR($E139/$D139,"")</f>
        <v/>
      </c>
      <c r="J139" s="57">
        <f>IFERROR($F139/$E139,"")</f>
        <v/>
      </c>
      <c r="K139" s="57">
        <f>IFERROR($G139/$F139,"")</f>
        <v/>
      </c>
      <c r="L139" s="40">
        <f>IF($C139="","",IF($C139&gt;='参数配置'!$B$14,"高流量","低流量"))</f>
        <v/>
      </c>
      <c r="M139" s="40">
        <f>IF($J139="","",IF($J139&gt;='参数配置'!$B$15,"高转化","低转化"))</f>
        <v/>
      </c>
      <c r="N139" s="48">
        <f>IF(OR($L139="",$M139=""),"",$L139&amp;$M139)</f>
        <v/>
      </c>
      <c r="O139" s="6">
        <f>IF($N139="","",IF($N139="高流量高转化","主推：加库存/上活动/扩达人/试投流",IF($N139="高流量低转化","查转化：价格/运费/优惠券/主图/详情/评价/客服",IF($N139="低流量高转化","加曝光：达人/短视频/直播/商城活动+秒杀",IF($N139="低流量低转化","下架或改图改标题重测/放弃","")))))</f>
        <v/>
      </c>
      <c r="P139" s="6">
        <f>IF($K139="","",IF($K139&gt;'参数配置'!$B$16,"⚠️退款率偏高·查质量/尺码/物流",""))</f>
        <v/>
      </c>
    </row>
    <row r="140">
      <c r="A140" s="52" t="n"/>
      <c r="B140" s="46">
        <f>IFERROR(VLOOKUP($A140,'SKU主表'!$A:$M,2,0),"")</f>
        <v/>
      </c>
      <c r="C140" s="61" t="n"/>
      <c r="D140" s="61" t="n"/>
      <c r="E140" s="61" t="n"/>
      <c r="F140" s="61" t="n"/>
      <c r="G140" s="61" t="n"/>
      <c r="H140" s="57">
        <f>IFERROR($D140/$C140,"")</f>
        <v/>
      </c>
      <c r="I140" s="57">
        <f>IFERROR($E140/$D140,"")</f>
        <v/>
      </c>
      <c r="J140" s="57">
        <f>IFERROR($F140/$E140,"")</f>
        <v/>
      </c>
      <c r="K140" s="57">
        <f>IFERROR($G140/$F140,"")</f>
        <v/>
      </c>
      <c r="L140" s="40">
        <f>IF($C140="","",IF($C140&gt;='参数配置'!$B$14,"高流量","低流量"))</f>
        <v/>
      </c>
      <c r="M140" s="40">
        <f>IF($J140="","",IF($J140&gt;='参数配置'!$B$15,"高转化","低转化"))</f>
        <v/>
      </c>
      <c r="N140" s="48">
        <f>IF(OR($L140="",$M140=""),"",$L140&amp;$M140)</f>
        <v/>
      </c>
      <c r="O140" s="6">
        <f>IF($N140="","",IF($N140="高流量高转化","主推：加库存/上活动/扩达人/试投流",IF($N140="高流量低转化","查转化：价格/运费/优惠券/主图/详情/评价/客服",IF($N140="低流量高转化","加曝光：达人/短视频/直播/商城活动+秒杀",IF($N140="低流量低转化","下架或改图改标题重测/放弃","")))))</f>
        <v/>
      </c>
      <c r="P140" s="6">
        <f>IF($K140="","",IF($K140&gt;'参数配置'!$B$16,"⚠️退款率偏高·查质量/尺码/物流",""))</f>
        <v/>
      </c>
    </row>
    <row r="141">
      <c r="A141" s="52" t="n"/>
      <c r="B141" s="46">
        <f>IFERROR(VLOOKUP($A141,'SKU主表'!$A:$M,2,0),"")</f>
        <v/>
      </c>
      <c r="C141" s="61" t="n"/>
      <c r="D141" s="61" t="n"/>
      <c r="E141" s="61" t="n"/>
      <c r="F141" s="61" t="n"/>
      <c r="G141" s="61" t="n"/>
      <c r="H141" s="57">
        <f>IFERROR($D141/$C141,"")</f>
        <v/>
      </c>
      <c r="I141" s="57">
        <f>IFERROR($E141/$D141,"")</f>
        <v/>
      </c>
      <c r="J141" s="57">
        <f>IFERROR($F141/$E141,"")</f>
        <v/>
      </c>
      <c r="K141" s="57">
        <f>IFERROR($G141/$F141,"")</f>
        <v/>
      </c>
      <c r="L141" s="40">
        <f>IF($C141="","",IF($C141&gt;='参数配置'!$B$14,"高流量","低流量"))</f>
        <v/>
      </c>
      <c r="M141" s="40">
        <f>IF($J141="","",IF($J141&gt;='参数配置'!$B$15,"高转化","低转化"))</f>
        <v/>
      </c>
      <c r="N141" s="48">
        <f>IF(OR($L141="",$M141=""),"",$L141&amp;$M141)</f>
        <v/>
      </c>
      <c r="O141" s="6">
        <f>IF($N141="","",IF($N141="高流量高转化","主推：加库存/上活动/扩达人/试投流",IF($N141="高流量低转化","查转化：价格/运费/优惠券/主图/详情/评价/客服",IF($N141="低流量高转化","加曝光：达人/短视频/直播/商城活动+秒杀",IF($N141="低流量低转化","下架或改图改标题重测/放弃","")))))</f>
        <v/>
      </c>
      <c r="P141" s="6">
        <f>IF($K141="","",IF($K141&gt;'参数配置'!$B$16,"⚠️退款率偏高·查质量/尺码/物流",""))</f>
        <v/>
      </c>
    </row>
    <row r="142">
      <c r="A142" s="52" t="n"/>
      <c r="B142" s="46">
        <f>IFERROR(VLOOKUP($A142,'SKU主表'!$A:$M,2,0),"")</f>
        <v/>
      </c>
      <c r="C142" s="61" t="n"/>
      <c r="D142" s="61" t="n"/>
      <c r="E142" s="61" t="n"/>
      <c r="F142" s="61" t="n"/>
      <c r="G142" s="61" t="n"/>
      <c r="H142" s="57">
        <f>IFERROR($D142/$C142,"")</f>
        <v/>
      </c>
      <c r="I142" s="57">
        <f>IFERROR($E142/$D142,"")</f>
        <v/>
      </c>
      <c r="J142" s="57">
        <f>IFERROR($F142/$E142,"")</f>
        <v/>
      </c>
      <c r="K142" s="57">
        <f>IFERROR($G142/$F142,"")</f>
        <v/>
      </c>
      <c r="L142" s="40">
        <f>IF($C142="","",IF($C142&gt;='参数配置'!$B$14,"高流量","低流量"))</f>
        <v/>
      </c>
      <c r="M142" s="40">
        <f>IF($J142="","",IF($J142&gt;='参数配置'!$B$15,"高转化","低转化"))</f>
        <v/>
      </c>
      <c r="N142" s="48">
        <f>IF(OR($L142="",$M142=""),"",$L142&amp;$M142)</f>
        <v/>
      </c>
      <c r="O142" s="6">
        <f>IF($N142="","",IF($N142="高流量高转化","主推：加库存/上活动/扩达人/试投流",IF($N142="高流量低转化","查转化：价格/运费/优惠券/主图/详情/评价/客服",IF($N142="低流量高转化","加曝光：达人/短视频/直播/商城活动+秒杀",IF($N142="低流量低转化","下架或改图改标题重测/放弃","")))))</f>
        <v/>
      </c>
      <c r="P142" s="6">
        <f>IF($K142="","",IF($K142&gt;'参数配置'!$B$16,"⚠️退款率偏高·查质量/尺码/物流",""))</f>
        <v/>
      </c>
    </row>
    <row r="143">
      <c r="A143" s="52" t="n"/>
      <c r="B143" s="46">
        <f>IFERROR(VLOOKUP($A143,'SKU主表'!$A:$M,2,0),"")</f>
        <v/>
      </c>
      <c r="C143" s="61" t="n"/>
      <c r="D143" s="61" t="n"/>
      <c r="E143" s="61" t="n"/>
      <c r="F143" s="61" t="n"/>
      <c r="G143" s="61" t="n"/>
      <c r="H143" s="57">
        <f>IFERROR($D143/$C143,"")</f>
        <v/>
      </c>
      <c r="I143" s="57">
        <f>IFERROR($E143/$D143,"")</f>
        <v/>
      </c>
      <c r="J143" s="57">
        <f>IFERROR($F143/$E143,"")</f>
        <v/>
      </c>
      <c r="K143" s="57">
        <f>IFERROR($G143/$F143,"")</f>
        <v/>
      </c>
      <c r="L143" s="40">
        <f>IF($C143="","",IF($C143&gt;='参数配置'!$B$14,"高流量","低流量"))</f>
        <v/>
      </c>
      <c r="M143" s="40">
        <f>IF($J143="","",IF($J143&gt;='参数配置'!$B$15,"高转化","低转化"))</f>
        <v/>
      </c>
      <c r="N143" s="48">
        <f>IF(OR($L143="",$M143=""),"",$L143&amp;$M143)</f>
        <v/>
      </c>
      <c r="O143" s="6">
        <f>IF($N143="","",IF($N143="高流量高转化","主推：加库存/上活动/扩达人/试投流",IF($N143="高流量低转化","查转化：价格/运费/优惠券/主图/详情/评价/客服",IF($N143="低流量高转化","加曝光：达人/短视频/直播/商城活动+秒杀",IF($N143="低流量低转化","下架或改图改标题重测/放弃","")))))</f>
        <v/>
      </c>
      <c r="P143" s="6">
        <f>IF($K143="","",IF($K143&gt;'参数配置'!$B$16,"⚠️退款率偏高·查质量/尺码/物流",""))</f>
        <v/>
      </c>
    </row>
    <row r="144">
      <c r="A144" s="52" t="n"/>
      <c r="B144" s="46">
        <f>IFERROR(VLOOKUP($A144,'SKU主表'!$A:$M,2,0),"")</f>
        <v/>
      </c>
      <c r="C144" s="61" t="n"/>
      <c r="D144" s="61" t="n"/>
      <c r="E144" s="61" t="n"/>
      <c r="F144" s="61" t="n"/>
      <c r="G144" s="61" t="n"/>
      <c r="H144" s="57">
        <f>IFERROR($D144/$C144,"")</f>
        <v/>
      </c>
      <c r="I144" s="57">
        <f>IFERROR($E144/$D144,"")</f>
        <v/>
      </c>
      <c r="J144" s="57">
        <f>IFERROR($F144/$E144,"")</f>
        <v/>
      </c>
      <c r="K144" s="57">
        <f>IFERROR($G144/$F144,"")</f>
        <v/>
      </c>
      <c r="L144" s="40">
        <f>IF($C144="","",IF($C144&gt;='参数配置'!$B$14,"高流量","低流量"))</f>
        <v/>
      </c>
      <c r="M144" s="40">
        <f>IF($J144="","",IF($J144&gt;='参数配置'!$B$15,"高转化","低转化"))</f>
        <v/>
      </c>
      <c r="N144" s="48">
        <f>IF(OR($L144="",$M144=""),"",$L144&amp;$M144)</f>
        <v/>
      </c>
      <c r="O144" s="6">
        <f>IF($N144="","",IF($N144="高流量高转化","主推：加库存/上活动/扩达人/试投流",IF($N144="高流量低转化","查转化：价格/运费/优惠券/主图/详情/评价/客服",IF($N144="低流量高转化","加曝光：达人/短视频/直播/商城活动+秒杀",IF($N144="低流量低转化","下架或改图改标题重测/放弃","")))))</f>
        <v/>
      </c>
      <c r="P144" s="6">
        <f>IF($K144="","",IF($K144&gt;'参数配置'!$B$16,"⚠️退款率偏高·查质量/尺码/物流",""))</f>
        <v/>
      </c>
    </row>
    <row r="145">
      <c r="A145" s="52" t="n"/>
      <c r="B145" s="46">
        <f>IFERROR(VLOOKUP($A145,'SKU主表'!$A:$M,2,0),"")</f>
        <v/>
      </c>
      <c r="C145" s="61" t="n"/>
      <c r="D145" s="61" t="n"/>
      <c r="E145" s="61" t="n"/>
      <c r="F145" s="61" t="n"/>
      <c r="G145" s="61" t="n"/>
      <c r="H145" s="57">
        <f>IFERROR($D145/$C145,"")</f>
        <v/>
      </c>
      <c r="I145" s="57">
        <f>IFERROR($E145/$D145,"")</f>
        <v/>
      </c>
      <c r="J145" s="57">
        <f>IFERROR($F145/$E145,"")</f>
        <v/>
      </c>
      <c r="K145" s="57">
        <f>IFERROR($G145/$F145,"")</f>
        <v/>
      </c>
      <c r="L145" s="40">
        <f>IF($C145="","",IF($C145&gt;='参数配置'!$B$14,"高流量","低流量"))</f>
        <v/>
      </c>
      <c r="M145" s="40">
        <f>IF($J145="","",IF($J145&gt;='参数配置'!$B$15,"高转化","低转化"))</f>
        <v/>
      </c>
      <c r="N145" s="48">
        <f>IF(OR($L145="",$M145=""),"",$L145&amp;$M145)</f>
        <v/>
      </c>
      <c r="O145" s="6">
        <f>IF($N145="","",IF($N145="高流量高转化","主推：加库存/上活动/扩达人/试投流",IF($N145="高流量低转化","查转化：价格/运费/优惠券/主图/详情/评价/客服",IF($N145="低流量高转化","加曝光：达人/短视频/直播/商城活动+秒杀",IF($N145="低流量低转化","下架或改图改标题重测/放弃","")))))</f>
        <v/>
      </c>
      <c r="P145" s="6">
        <f>IF($K145="","",IF($K145&gt;'参数配置'!$B$16,"⚠️退款率偏高·查质量/尺码/物流",""))</f>
        <v/>
      </c>
    </row>
    <row r="146">
      <c r="A146" s="52" t="n"/>
      <c r="B146" s="46">
        <f>IFERROR(VLOOKUP($A146,'SKU主表'!$A:$M,2,0),"")</f>
        <v/>
      </c>
      <c r="C146" s="61" t="n"/>
      <c r="D146" s="61" t="n"/>
      <c r="E146" s="61" t="n"/>
      <c r="F146" s="61" t="n"/>
      <c r="G146" s="61" t="n"/>
      <c r="H146" s="57">
        <f>IFERROR($D146/$C146,"")</f>
        <v/>
      </c>
      <c r="I146" s="57">
        <f>IFERROR($E146/$D146,"")</f>
        <v/>
      </c>
      <c r="J146" s="57">
        <f>IFERROR($F146/$E146,"")</f>
        <v/>
      </c>
      <c r="K146" s="57">
        <f>IFERROR($G146/$F146,"")</f>
        <v/>
      </c>
      <c r="L146" s="40">
        <f>IF($C146="","",IF($C146&gt;='参数配置'!$B$14,"高流量","低流量"))</f>
        <v/>
      </c>
      <c r="M146" s="40">
        <f>IF($J146="","",IF($J146&gt;='参数配置'!$B$15,"高转化","低转化"))</f>
        <v/>
      </c>
      <c r="N146" s="48">
        <f>IF(OR($L146="",$M146=""),"",$L146&amp;$M146)</f>
        <v/>
      </c>
      <c r="O146" s="6">
        <f>IF($N146="","",IF($N146="高流量高转化","主推：加库存/上活动/扩达人/试投流",IF($N146="高流量低转化","查转化：价格/运费/优惠券/主图/详情/评价/客服",IF($N146="低流量高转化","加曝光：达人/短视频/直播/商城活动+秒杀",IF($N146="低流量低转化","下架或改图改标题重测/放弃","")))))</f>
        <v/>
      </c>
      <c r="P146" s="6">
        <f>IF($K146="","",IF($K146&gt;'参数配置'!$B$16,"⚠️退款率偏高·查质量/尺码/物流",""))</f>
        <v/>
      </c>
    </row>
    <row r="147">
      <c r="A147" s="52" t="n"/>
      <c r="B147" s="46">
        <f>IFERROR(VLOOKUP($A147,'SKU主表'!$A:$M,2,0),"")</f>
        <v/>
      </c>
      <c r="C147" s="61" t="n"/>
      <c r="D147" s="61" t="n"/>
      <c r="E147" s="61" t="n"/>
      <c r="F147" s="61" t="n"/>
      <c r="G147" s="61" t="n"/>
      <c r="H147" s="57">
        <f>IFERROR($D147/$C147,"")</f>
        <v/>
      </c>
      <c r="I147" s="57">
        <f>IFERROR($E147/$D147,"")</f>
        <v/>
      </c>
      <c r="J147" s="57">
        <f>IFERROR($F147/$E147,"")</f>
        <v/>
      </c>
      <c r="K147" s="57">
        <f>IFERROR($G147/$F147,"")</f>
        <v/>
      </c>
      <c r="L147" s="40">
        <f>IF($C147="","",IF($C147&gt;='参数配置'!$B$14,"高流量","低流量"))</f>
        <v/>
      </c>
      <c r="M147" s="40">
        <f>IF($J147="","",IF($J147&gt;='参数配置'!$B$15,"高转化","低转化"))</f>
        <v/>
      </c>
      <c r="N147" s="48">
        <f>IF(OR($L147="",$M147=""),"",$L147&amp;$M147)</f>
        <v/>
      </c>
      <c r="O147" s="6">
        <f>IF($N147="","",IF($N147="高流量高转化","主推：加库存/上活动/扩达人/试投流",IF($N147="高流量低转化","查转化：价格/运费/优惠券/主图/详情/评价/客服",IF($N147="低流量高转化","加曝光：达人/短视频/直播/商城活动+秒杀",IF($N147="低流量低转化","下架或改图改标题重测/放弃","")))))</f>
        <v/>
      </c>
      <c r="P147" s="6">
        <f>IF($K147="","",IF($K147&gt;'参数配置'!$B$16,"⚠️退款率偏高·查质量/尺码/物流",""))</f>
        <v/>
      </c>
    </row>
    <row r="148">
      <c r="A148" s="52" t="n"/>
      <c r="B148" s="46">
        <f>IFERROR(VLOOKUP($A148,'SKU主表'!$A:$M,2,0),"")</f>
        <v/>
      </c>
      <c r="C148" s="61" t="n"/>
      <c r="D148" s="61" t="n"/>
      <c r="E148" s="61" t="n"/>
      <c r="F148" s="61" t="n"/>
      <c r="G148" s="61" t="n"/>
      <c r="H148" s="57">
        <f>IFERROR($D148/$C148,"")</f>
        <v/>
      </c>
      <c r="I148" s="57">
        <f>IFERROR($E148/$D148,"")</f>
        <v/>
      </c>
      <c r="J148" s="57">
        <f>IFERROR($F148/$E148,"")</f>
        <v/>
      </c>
      <c r="K148" s="57">
        <f>IFERROR($G148/$F148,"")</f>
        <v/>
      </c>
      <c r="L148" s="40">
        <f>IF($C148="","",IF($C148&gt;='参数配置'!$B$14,"高流量","低流量"))</f>
        <v/>
      </c>
      <c r="M148" s="40">
        <f>IF($J148="","",IF($J148&gt;='参数配置'!$B$15,"高转化","低转化"))</f>
        <v/>
      </c>
      <c r="N148" s="48">
        <f>IF(OR($L148="",$M148=""),"",$L148&amp;$M148)</f>
        <v/>
      </c>
      <c r="O148" s="6">
        <f>IF($N148="","",IF($N148="高流量高转化","主推：加库存/上活动/扩达人/试投流",IF($N148="高流量低转化","查转化：价格/运费/优惠券/主图/详情/评价/客服",IF($N148="低流量高转化","加曝光：达人/短视频/直播/商城活动+秒杀",IF($N148="低流量低转化","下架或改图改标题重测/放弃","")))))</f>
        <v/>
      </c>
      <c r="P148" s="6">
        <f>IF($K148="","",IF($K148&gt;'参数配置'!$B$16,"⚠️退款率偏高·查质量/尺码/物流",""))</f>
        <v/>
      </c>
    </row>
    <row r="149">
      <c r="A149" s="52" t="n"/>
      <c r="B149" s="46">
        <f>IFERROR(VLOOKUP($A149,'SKU主表'!$A:$M,2,0),"")</f>
        <v/>
      </c>
      <c r="C149" s="61" t="n"/>
      <c r="D149" s="61" t="n"/>
      <c r="E149" s="61" t="n"/>
      <c r="F149" s="61" t="n"/>
      <c r="G149" s="61" t="n"/>
      <c r="H149" s="57">
        <f>IFERROR($D149/$C149,"")</f>
        <v/>
      </c>
      <c r="I149" s="57">
        <f>IFERROR($E149/$D149,"")</f>
        <v/>
      </c>
      <c r="J149" s="57">
        <f>IFERROR($F149/$E149,"")</f>
        <v/>
      </c>
      <c r="K149" s="57">
        <f>IFERROR($G149/$F149,"")</f>
        <v/>
      </c>
      <c r="L149" s="40">
        <f>IF($C149="","",IF($C149&gt;='参数配置'!$B$14,"高流量","低流量"))</f>
        <v/>
      </c>
      <c r="M149" s="40">
        <f>IF($J149="","",IF($J149&gt;='参数配置'!$B$15,"高转化","低转化"))</f>
        <v/>
      </c>
      <c r="N149" s="48">
        <f>IF(OR($L149="",$M149=""),"",$L149&amp;$M149)</f>
        <v/>
      </c>
      <c r="O149" s="6">
        <f>IF($N149="","",IF($N149="高流量高转化","主推：加库存/上活动/扩达人/试投流",IF($N149="高流量低转化","查转化：价格/运费/优惠券/主图/详情/评价/客服",IF($N149="低流量高转化","加曝光：达人/短视频/直播/商城活动+秒杀",IF($N149="低流量低转化","下架或改图改标题重测/放弃","")))))</f>
        <v/>
      </c>
      <c r="P149" s="6">
        <f>IF($K149="","",IF($K149&gt;'参数配置'!$B$16,"⚠️退款率偏高·查质量/尺码/物流",""))</f>
        <v/>
      </c>
    </row>
    <row r="150">
      <c r="A150" s="52" t="n"/>
      <c r="B150" s="46">
        <f>IFERROR(VLOOKUP($A150,'SKU主表'!$A:$M,2,0),"")</f>
        <v/>
      </c>
      <c r="C150" s="61" t="n"/>
      <c r="D150" s="61" t="n"/>
      <c r="E150" s="61" t="n"/>
      <c r="F150" s="61" t="n"/>
      <c r="G150" s="61" t="n"/>
      <c r="H150" s="57">
        <f>IFERROR($D150/$C150,"")</f>
        <v/>
      </c>
      <c r="I150" s="57">
        <f>IFERROR($E150/$D150,"")</f>
        <v/>
      </c>
      <c r="J150" s="57">
        <f>IFERROR($F150/$E150,"")</f>
        <v/>
      </c>
      <c r="K150" s="57">
        <f>IFERROR($G150/$F150,"")</f>
        <v/>
      </c>
      <c r="L150" s="40">
        <f>IF($C150="","",IF($C150&gt;='参数配置'!$B$14,"高流量","低流量"))</f>
        <v/>
      </c>
      <c r="M150" s="40">
        <f>IF($J150="","",IF($J150&gt;='参数配置'!$B$15,"高转化","低转化"))</f>
        <v/>
      </c>
      <c r="N150" s="48">
        <f>IF(OR($L150="",$M150=""),"",$L150&amp;$M150)</f>
        <v/>
      </c>
      <c r="O150" s="6">
        <f>IF($N150="","",IF($N150="高流量高转化","主推：加库存/上活动/扩达人/试投流",IF($N150="高流量低转化","查转化：价格/运费/优惠券/主图/详情/评价/客服",IF($N150="低流量高转化","加曝光：达人/短视频/直播/商城活动+秒杀",IF($N150="低流量低转化","下架或改图改标题重测/放弃","")))))</f>
        <v/>
      </c>
      <c r="P150" s="6">
        <f>IF($K150="","",IF($K150&gt;'参数配置'!$B$16,"⚠️退款率偏高·查质量/尺码/物流",""))</f>
        <v/>
      </c>
    </row>
    <row r="151">
      <c r="A151" s="52" t="n"/>
      <c r="B151" s="46">
        <f>IFERROR(VLOOKUP($A151,'SKU主表'!$A:$M,2,0),"")</f>
        <v/>
      </c>
      <c r="C151" s="61" t="n"/>
      <c r="D151" s="61" t="n"/>
      <c r="E151" s="61" t="n"/>
      <c r="F151" s="61" t="n"/>
      <c r="G151" s="61" t="n"/>
      <c r="H151" s="57">
        <f>IFERROR($D151/$C151,"")</f>
        <v/>
      </c>
      <c r="I151" s="57">
        <f>IFERROR($E151/$D151,"")</f>
        <v/>
      </c>
      <c r="J151" s="57">
        <f>IFERROR($F151/$E151,"")</f>
        <v/>
      </c>
      <c r="K151" s="57">
        <f>IFERROR($G151/$F151,"")</f>
        <v/>
      </c>
      <c r="L151" s="40">
        <f>IF($C151="","",IF($C151&gt;='参数配置'!$B$14,"高流量","低流量"))</f>
        <v/>
      </c>
      <c r="M151" s="40">
        <f>IF($J151="","",IF($J151&gt;='参数配置'!$B$15,"高转化","低转化"))</f>
        <v/>
      </c>
      <c r="N151" s="48">
        <f>IF(OR($L151="",$M151=""),"",$L151&amp;$M151)</f>
        <v/>
      </c>
      <c r="O151" s="6">
        <f>IF($N151="","",IF($N151="高流量高转化","主推：加库存/上活动/扩达人/试投流",IF($N151="高流量低转化","查转化：价格/运费/优惠券/主图/详情/评价/客服",IF($N151="低流量高转化","加曝光：达人/短视频/直播/商城活动+秒杀",IF($N151="低流量低转化","下架或改图改标题重测/放弃","")))))</f>
        <v/>
      </c>
      <c r="P151" s="6">
        <f>IF($K151="","",IF($K151&gt;'参数配置'!$B$16,"⚠️退款率偏高·查质量/尺码/物流",""))</f>
        <v/>
      </c>
    </row>
    <row r="152">
      <c r="A152" s="52" t="n"/>
      <c r="B152" s="46">
        <f>IFERROR(VLOOKUP($A152,'SKU主表'!$A:$M,2,0),"")</f>
        <v/>
      </c>
      <c r="C152" s="61" t="n"/>
      <c r="D152" s="61" t="n"/>
      <c r="E152" s="61" t="n"/>
      <c r="F152" s="61" t="n"/>
      <c r="G152" s="61" t="n"/>
      <c r="H152" s="57">
        <f>IFERROR($D152/$C152,"")</f>
        <v/>
      </c>
      <c r="I152" s="57">
        <f>IFERROR($E152/$D152,"")</f>
        <v/>
      </c>
      <c r="J152" s="57">
        <f>IFERROR($F152/$E152,"")</f>
        <v/>
      </c>
      <c r="K152" s="57">
        <f>IFERROR($G152/$F152,"")</f>
        <v/>
      </c>
      <c r="L152" s="40">
        <f>IF($C152="","",IF($C152&gt;='参数配置'!$B$14,"高流量","低流量"))</f>
        <v/>
      </c>
      <c r="M152" s="40">
        <f>IF($J152="","",IF($J152&gt;='参数配置'!$B$15,"高转化","低转化"))</f>
        <v/>
      </c>
      <c r="N152" s="48">
        <f>IF(OR($L152="",$M152=""),"",$L152&amp;$M152)</f>
        <v/>
      </c>
      <c r="O152" s="6">
        <f>IF($N152="","",IF($N152="高流量高转化","主推：加库存/上活动/扩达人/试投流",IF($N152="高流量低转化","查转化：价格/运费/优惠券/主图/详情/评价/客服",IF($N152="低流量高转化","加曝光：达人/短视频/直播/商城活动+秒杀",IF($N152="低流量低转化","下架或改图改标题重测/放弃","")))))</f>
        <v/>
      </c>
      <c r="P152" s="6">
        <f>IF($K152="","",IF($K152&gt;'参数配置'!$B$16,"⚠️退款率偏高·查质量/尺码/物流",""))</f>
        <v/>
      </c>
    </row>
    <row r="153">
      <c r="A153" s="52" t="n"/>
      <c r="B153" s="46">
        <f>IFERROR(VLOOKUP($A153,'SKU主表'!$A:$M,2,0),"")</f>
        <v/>
      </c>
      <c r="C153" s="61" t="n"/>
      <c r="D153" s="61" t="n"/>
      <c r="E153" s="61" t="n"/>
      <c r="F153" s="61" t="n"/>
      <c r="G153" s="61" t="n"/>
      <c r="H153" s="57">
        <f>IFERROR($D153/$C153,"")</f>
        <v/>
      </c>
      <c r="I153" s="57">
        <f>IFERROR($E153/$D153,"")</f>
        <v/>
      </c>
      <c r="J153" s="57">
        <f>IFERROR($F153/$E153,"")</f>
        <v/>
      </c>
      <c r="K153" s="57">
        <f>IFERROR($G153/$F153,"")</f>
        <v/>
      </c>
      <c r="L153" s="40">
        <f>IF($C153="","",IF($C153&gt;='参数配置'!$B$14,"高流量","低流量"))</f>
        <v/>
      </c>
      <c r="M153" s="40">
        <f>IF($J153="","",IF($J153&gt;='参数配置'!$B$15,"高转化","低转化"))</f>
        <v/>
      </c>
      <c r="N153" s="48">
        <f>IF(OR($L153="",$M153=""),"",$L153&amp;$M153)</f>
        <v/>
      </c>
      <c r="O153" s="6">
        <f>IF($N153="","",IF($N153="高流量高转化","主推：加库存/上活动/扩达人/试投流",IF($N153="高流量低转化","查转化：价格/运费/优惠券/主图/详情/评价/客服",IF($N153="低流量高转化","加曝光：达人/短视频/直播/商城活动+秒杀",IF($N153="低流量低转化","下架或改图改标题重测/放弃","")))))</f>
        <v/>
      </c>
      <c r="P153" s="6">
        <f>IF($K153="","",IF($K153&gt;'参数配置'!$B$16,"⚠️退款率偏高·查质量/尺码/物流",""))</f>
        <v/>
      </c>
    </row>
    <row r="154">
      <c r="A154" s="52" t="n"/>
      <c r="B154" s="46">
        <f>IFERROR(VLOOKUP($A154,'SKU主表'!$A:$M,2,0),"")</f>
        <v/>
      </c>
      <c r="C154" s="61" t="n"/>
      <c r="D154" s="61" t="n"/>
      <c r="E154" s="61" t="n"/>
      <c r="F154" s="61" t="n"/>
      <c r="G154" s="61" t="n"/>
      <c r="H154" s="57">
        <f>IFERROR($D154/$C154,"")</f>
        <v/>
      </c>
      <c r="I154" s="57">
        <f>IFERROR($E154/$D154,"")</f>
        <v/>
      </c>
      <c r="J154" s="57">
        <f>IFERROR($F154/$E154,"")</f>
        <v/>
      </c>
      <c r="K154" s="57">
        <f>IFERROR($G154/$F154,"")</f>
        <v/>
      </c>
      <c r="L154" s="40">
        <f>IF($C154="","",IF($C154&gt;='参数配置'!$B$14,"高流量","低流量"))</f>
        <v/>
      </c>
      <c r="M154" s="40">
        <f>IF($J154="","",IF($J154&gt;='参数配置'!$B$15,"高转化","低转化"))</f>
        <v/>
      </c>
      <c r="N154" s="48">
        <f>IF(OR($L154="",$M154=""),"",$L154&amp;$M154)</f>
        <v/>
      </c>
      <c r="O154" s="6">
        <f>IF($N154="","",IF($N154="高流量高转化","主推：加库存/上活动/扩达人/试投流",IF($N154="高流量低转化","查转化：价格/运费/优惠券/主图/详情/评价/客服",IF($N154="低流量高转化","加曝光：达人/短视频/直播/商城活动+秒杀",IF($N154="低流量低转化","下架或改图改标题重测/放弃","")))))</f>
        <v/>
      </c>
      <c r="P154" s="6">
        <f>IF($K154="","",IF($K154&gt;'参数配置'!$B$16,"⚠️退款率偏高·查质量/尺码/物流",""))</f>
        <v/>
      </c>
    </row>
    <row r="155">
      <c r="A155" s="52" t="n"/>
      <c r="B155" s="46">
        <f>IFERROR(VLOOKUP($A155,'SKU主表'!$A:$M,2,0),"")</f>
        <v/>
      </c>
      <c r="C155" s="61" t="n"/>
      <c r="D155" s="61" t="n"/>
      <c r="E155" s="61" t="n"/>
      <c r="F155" s="61" t="n"/>
      <c r="G155" s="61" t="n"/>
      <c r="H155" s="57">
        <f>IFERROR($D155/$C155,"")</f>
        <v/>
      </c>
      <c r="I155" s="57">
        <f>IFERROR($E155/$D155,"")</f>
        <v/>
      </c>
      <c r="J155" s="57">
        <f>IFERROR($F155/$E155,"")</f>
        <v/>
      </c>
      <c r="K155" s="57">
        <f>IFERROR($G155/$F155,"")</f>
        <v/>
      </c>
      <c r="L155" s="40">
        <f>IF($C155="","",IF($C155&gt;='参数配置'!$B$14,"高流量","低流量"))</f>
        <v/>
      </c>
      <c r="M155" s="40">
        <f>IF($J155="","",IF($J155&gt;='参数配置'!$B$15,"高转化","低转化"))</f>
        <v/>
      </c>
      <c r="N155" s="48">
        <f>IF(OR($L155="",$M155=""),"",$L155&amp;$M155)</f>
        <v/>
      </c>
      <c r="O155" s="6">
        <f>IF($N155="","",IF($N155="高流量高转化","主推：加库存/上活动/扩达人/试投流",IF($N155="高流量低转化","查转化：价格/运费/优惠券/主图/详情/评价/客服",IF($N155="低流量高转化","加曝光：达人/短视频/直播/商城活动+秒杀",IF($N155="低流量低转化","下架或改图改标题重测/放弃","")))))</f>
        <v/>
      </c>
      <c r="P155" s="6">
        <f>IF($K155="","",IF($K155&gt;'参数配置'!$B$16,"⚠️退款率偏高·查质量/尺码/物流",""))</f>
        <v/>
      </c>
    </row>
    <row r="156">
      <c r="A156" s="52" t="n"/>
      <c r="B156" s="46">
        <f>IFERROR(VLOOKUP($A156,'SKU主表'!$A:$M,2,0),"")</f>
        <v/>
      </c>
      <c r="C156" s="61" t="n"/>
      <c r="D156" s="61" t="n"/>
      <c r="E156" s="61" t="n"/>
      <c r="F156" s="61" t="n"/>
      <c r="G156" s="61" t="n"/>
      <c r="H156" s="57">
        <f>IFERROR($D156/$C156,"")</f>
        <v/>
      </c>
      <c r="I156" s="57">
        <f>IFERROR($E156/$D156,"")</f>
        <v/>
      </c>
      <c r="J156" s="57">
        <f>IFERROR($F156/$E156,"")</f>
        <v/>
      </c>
      <c r="K156" s="57">
        <f>IFERROR($G156/$F156,"")</f>
        <v/>
      </c>
      <c r="L156" s="40">
        <f>IF($C156="","",IF($C156&gt;='参数配置'!$B$14,"高流量","低流量"))</f>
        <v/>
      </c>
      <c r="M156" s="40">
        <f>IF($J156="","",IF($J156&gt;='参数配置'!$B$15,"高转化","低转化"))</f>
        <v/>
      </c>
      <c r="N156" s="48">
        <f>IF(OR($L156="",$M156=""),"",$L156&amp;$M156)</f>
        <v/>
      </c>
      <c r="O156" s="6">
        <f>IF($N156="","",IF($N156="高流量高转化","主推：加库存/上活动/扩达人/试投流",IF($N156="高流量低转化","查转化：价格/运费/优惠券/主图/详情/评价/客服",IF($N156="低流量高转化","加曝光：达人/短视频/直播/商城活动+秒杀",IF($N156="低流量低转化","下架或改图改标题重测/放弃","")))))</f>
        <v/>
      </c>
      <c r="P156" s="6">
        <f>IF($K156="","",IF($K156&gt;'参数配置'!$B$16,"⚠️退款率偏高·查质量/尺码/物流",""))</f>
        <v/>
      </c>
    </row>
    <row r="157">
      <c r="A157" s="52" t="n"/>
      <c r="B157" s="46">
        <f>IFERROR(VLOOKUP($A157,'SKU主表'!$A:$M,2,0),"")</f>
        <v/>
      </c>
      <c r="C157" s="61" t="n"/>
      <c r="D157" s="61" t="n"/>
      <c r="E157" s="61" t="n"/>
      <c r="F157" s="61" t="n"/>
      <c r="G157" s="61" t="n"/>
      <c r="H157" s="57">
        <f>IFERROR($D157/$C157,"")</f>
        <v/>
      </c>
      <c r="I157" s="57">
        <f>IFERROR($E157/$D157,"")</f>
        <v/>
      </c>
      <c r="J157" s="57">
        <f>IFERROR($F157/$E157,"")</f>
        <v/>
      </c>
      <c r="K157" s="57">
        <f>IFERROR($G157/$F157,"")</f>
        <v/>
      </c>
      <c r="L157" s="40">
        <f>IF($C157="","",IF($C157&gt;='参数配置'!$B$14,"高流量","低流量"))</f>
        <v/>
      </c>
      <c r="M157" s="40">
        <f>IF($J157="","",IF($J157&gt;='参数配置'!$B$15,"高转化","低转化"))</f>
        <v/>
      </c>
      <c r="N157" s="48">
        <f>IF(OR($L157="",$M157=""),"",$L157&amp;$M157)</f>
        <v/>
      </c>
      <c r="O157" s="6">
        <f>IF($N157="","",IF($N157="高流量高转化","主推：加库存/上活动/扩达人/试投流",IF($N157="高流量低转化","查转化：价格/运费/优惠券/主图/详情/评价/客服",IF($N157="低流量高转化","加曝光：达人/短视频/直播/商城活动+秒杀",IF($N157="低流量低转化","下架或改图改标题重测/放弃","")))))</f>
        <v/>
      </c>
      <c r="P157" s="6">
        <f>IF($K157="","",IF($K157&gt;'参数配置'!$B$16,"⚠️退款率偏高·查质量/尺码/物流",""))</f>
        <v/>
      </c>
    </row>
    <row r="158">
      <c r="A158" s="52" t="n"/>
      <c r="B158" s="46">
        <f>IFERROR(VLOOKUP($A158,'SKU主表'!$A:$M,2,0),"")</f>
        <v/>
      </c>
      <c r="C158" s="61" t="n"/>
      <c r="D158" s="61" t="n"/>
      <c r="E158" s="61" t="n"/>
      <c r="F158" s="61" t="n"/>
      <c r="G158" s="61" t="n"/>
      <c r="H158" s="57">
        <f>IFERROR($D158/$C158,"")</f>
        <v/>
      </c>
      <c r="I158" s="57">
        <f>IFERROR($E158/$D158,"")</f>
        <v/>
      </c>
      <c r="J158" s="57">
        <f>IFERROR($F158/$E158,"")</f>
        <v/>
      </c>
      <c r="K158" s="57">
        <f>IFERROR($G158/$F158,"")</f>
        <v/>
      </c>
      <c r="L158" s="40">
        <f>IF($C158="","",IF($C158&gt;='参数配置'!$B$14,"高流量","低流量"))</f>
        <v/>
      </c>
      <c r="M158" s="40">
        <f>IF($J158="","",IF($J158&gt;='参数配置'!$B$15,"高转化","低转化"))</f>
        <v/>
      </c>
      <c r="N158" s="48">
        <f>IF(OR($L158="",$M158=""),"",$L158&amp;$M158)</f>
        <v/>
      </c>
      <c r="O158" s="6">
        <f>IF($N158="","",IF($N158="高流量高转化","主推：加库存/上活动/扩达人/试投流",IF($N158="高流量低转化","查转化：价格/运费/优惠券/主图/详情/评价/客服",IF($N158="低流量高转化","加曝光：达人/短视频/直播/商城活动+秒杀",IF($N158="低流量低转化","下架或改图改标题重测/放弃","")))))</f>
        <v/>
      </c>
      <c r="P158" s="6">
        <f>IF($K158="","",IF($K158&gt;'参数配置'!$B$16,"⚠️退款率偏高·查质量/尺码/物流",""))</f>
        <v/>
      </c>
    </row>
    <row r="159">
      <c r="A159" s="52" t="n"/>
      <c r="B159" s="46">
        <f>IFERROR(VLOOKUP($A159,'SKU主表'!$A:$M,2,0),"")</f>
        <v/>
      </c>
      <c r="C159" s="61" t="n"/>
      <c r="D159" s="61" t="n"/>
      <c r="E159" s="61" t="n"/>
      <c r="F159" s="61" t="n"/>
      <c r="G159" s="61" t="n"/>
      <c r="H159" s="57">
        <f>IFERROR($D159/$C159,"")</f>
        <v/>
      </c>
      <c r="I159" s="57">
        <f>IFERROR($E159/$D159,"")</f>
        <v/>
      </c>
      <c r="J159" s="57">
        <f>IFERROR($F159/$E159,"")</f>
        <v/>
      </c>
      <c r="K159" s="57">
        <f>IFERROR($G159/$F159,"")</f>
        <v/>
      </c>
      <c r="L159" s="40">
        <f>IF($C159="","",IF($C159&gt;='参数配置'!$B$14,"高流量","低流量"))</f>
        <v/>
      </c>
      <c r="M159" s="40">
        <f>IF($J159="","",IF($J159&gt;='参数配置'!$B$15,"高转化","低转化"))</f>
        <v/>
      </c>
      <c r="N159" s="48">
        <f>IF(OR($L159="",$M159=""),"",$L159&amp;$M159)</f>
        <v/>
      </c>
      <c r="O159" s="6">
        <f>IF($N159="","",IF($N159="高流量高转化","主推：加库存/上活动/扩达人/试投流",IF($N159="高流量低转化","查转化：价格/运费/优惠券/主图/详情/评价/客服",IF($N159="低流量高转化","加曝光：达人/短视频/直播/商城活动+秒杀",IF($N159="低流量低转化","下架或改图改标题重测/放弃","")))))</f>
        <v/>
      </c>
      <c r="P159" s="6">
        <f>IF($K159="","",IF($K159&gt;'参数配置'!$B$16,"⚠️退款率偏高·查质量/尺码/物流",""))</f>
        <v/>
      </c>
    </row>
    <row r="160">
      <c r="A160" s="52" t="n"/>
      <c r="B160" s="46">
        <f>IFERROR(VLOOKUP($A160,'SKU主表'!$A:$M,2,0),"")</f>
        <v/>
      </c>
      <c r="C160" s="61" t="n"/>
      <c r="D160" s="61" t="n"/>
      <c r="E160" s="61" t="n"/>
      <c r="F160" s="61" t="n"/>
      <c r="G160" s="61" t="n"/>
      <c r="H160" s="57">
        <f>IFERROR($D160/$C160,"")</f>
        <v/>
      </c>
      <c r="I160" s="57">
        <f>IFERROR($E160/$D160,"")</f>
        <v/>
      </c>
      <c r="J160" s="57">
        <f>IFERROR($F160/$E160,"")</f>
        <v/>
      </c>
      <c r="K160" s="57">
        <f>IFERROR($G160/$F160,"")</f>
        <v/>
      </c>
      <c r="L160" s="40">
        <f>IF($C160="","",IF($C160&gt;='参数配置'!$B$14,"高流量","低流量"))</f>
        <v/>
      </c>
      <c r="M160" s="40">
        <f>IF($J160="","",IF($J160&gt;='参数配置'!$B$15,"高转化","低转化"))</f>
        <v/>
      </c>
      <c r="N160" s="48">
        <f>IF(OR($L160="",$M160=""),"",$L160&amp;$M160)</f>
        <v/>
      </c>
      <c r="O160" s="6">
        <f>IF($N160="","",IF($N160="高流量高转化","主推：加库存/上活动/扩达人/试投流",IF($N160="高流量低转化","查转化：价格/运费/优惠券/主图/详情/评价/客服",IF($N160="低流量高转化","加曝光：达人/短视频/直播/商城活动+秒杀",IF($N160="低流量低转化","下架或改图改标题重测/放弃","")))))</f>
        <v/>
      </c>
      <c r="P160" s="6">
        <f>IF($K160="","",IF($K160&gt;'参数配置'!$B$16,"⚠️退款率偏高·查质量/尺码/物流",""))</f>
        <v/>
      </c>
    </row>
    <row r="161">
      <c r="A161" s="52" t="n"/>
      <c r="B161" s="46">
        <f>IFERROR(VLOOKUP($A161,'SKU主表'!$A:$M,2,0),"")</f>
        <v/>
      </c>
      <c r="C161" s="61" t="n"/>
      <c r="D161" s="61" t="n"/>
      <c r="E161" s="61" t="n"/>
      <c r="F161" s="61" t="n"/>
      <c r="G161" s="61" t="n"/>
      <c r="H161" s="57">
        <f>IFERROR($D161/$C161,"")</f>
        <v/>
      </c>
      <c r="I161" s="57">
        <f>IFERROR($E161/$D161,"")</f>
        <v/>
      </c>
      <c r="J161" s="57">
        <f>IFERROR($F161/$E161,"")</f>
        <v/>
      </c>
      <c r="K161" s="57">
        <f>IFERROR($G161/$F161,"")</f>
        <v/>
      </c>
      <c r="L161" s="40">
        <f>IF($C161="","",IF($C161&gt;='参数配置'!$B$14,"高流量","低流量"))</f>
        <v/>
      </c>
      <c r="M161" s="40">
        <f>IF($J161="","",IF($J161&gt;='参数配置'!$B$15,"高转化","低转化"))</f>
        <v/>
      </c>
      <c r="N161" s="48">
        <f>IF(OR($L161="",$M161=""),"",$L161&amp;$M161)</f>
        <v/>
      </c>
      <c r="O161" s="6">
        <f>IF($N161="","",IF($N161="高流量高转化","主推：加库存/上活动/扩达人/试投流",IF($N161="高流量低转化","查转化：价格/运费/优惠券/主图/详情/评价/客服",IF($N161="低流量高转化","加曝光：达人/短视频/直播/商城活动+秒杀",IF($N161="低流量低转化","下架或改图改标题重测/放弃","")))))</f>
        <v/>
      </c>
      <c r="P161" s="6">
        <f>IF($K161="","",IF($K161&gt;'参数配置'!$B$16,"⚠️退款率偏高·查质量/尺码/物流",""))</f>
        <v/>
      </c>
    </row>
    <row r="162">
      <c r="A162" s="52" t="n"/>
      <c r="B162" s="46">
        <f>IFERROR(VLOOKUP($A162,'SKU主表'!$A:$M,2,0),"")</f>
        <v/>
      </c>
      <c r="C162" s="61" t="n"/>
      <c r="D162" s="61" t="n"/>
      <c r="E162" s="61" t="n"/>
      <c r="F162" s="61" t="n"/>
      <c r="G162" s="61" t="n"/>
      <c r="H162" s="57">
        <f>IFERROR($D162/$C162,"")</f>
        <v/>
      </c>
      <c r="I162" s="57">
        <f>IFERROR($E162/$D162,"")</f>
        <v/>
      </c>
      <c r="J162" s="57">
        <f>IFERROR($F162/$E162,"")</f>
        <v/>
      </c>
      <c r="K162" s="57">
        <f>IFERROR($G162/$F162,"")</f>
        <v/>
      </c>
      <c r="L162" s="40">
        <f>IF($C162="","",IF($C162&gt;='参数配置'!$B$14,"高流量","低流量"))</f>
        <v/>
      </c>
      <c r="M162" s="40">
        <f>IF($J162="","",IF($J162&gt;='参数配置'!$B$15,"高转化","低转化"))</f>
        <v/>
      </c>
      <c r="N162" s="48">
        <f>IF(OR($L162="",$M162=""),"",$L162&amp;$M162)</f>
        <v/>
      </c>
      <c r="O162" s="6">
        <f>IF($N162="","",IF($N162="高流量高转化","主推：加库存/上活动/扩达人/试投流",IF($N162="高流量低转化","查转化：价格/运费/优惠券/主图/详情/评价/客服",IF($N162="低流量高转化","加曝光：达人/短视频/直播/商城活动+秒杀",IF($N162="低流量低转化","下架或改图改标题重测/放弃","")))))</f>
        <v/>
      </c>
      <c r="P162" s="6">
        <f>IF($K162="","",IF($K162&gt;'参数配置'!$B$16,"⚠️退款率偏高·查质量/尺码/物流",""))</f>
        <v/>
      </c>
    </row>
    <row r="163">
      <c r="A163" s="52" t="n"/>
      <c r="B163" s="46">
        <f>IFERROR(VLOOKUP($A163,'SKU主表'!$A:$M,2,0),"")</f>
        <v/>
      </c>
      <c r="C163" s="61" t="n"/>
      <c r="D163" s="61" t="n"/>
      <c r="E163" s="61" t="n"/>
      <c r="F163" s="61" t="n"/>
      <c r="G163" s="61" t="n"/>
      <c r="H163" s="57">
        <f>IFERROR($D163/$C163,"")</f>
        <v/>
      </c>
      <c r="I163" s="57">
        <f>IFERROR($E163/$D163,"")</f>
        <v/>
      </c>
      <c r="J163" s="57">
        <f>IFERROR($F163/$E163,"")</f>
        <v/>
      </c>
      <c r="K163" s="57">
        <f>IFERROR($G163/$F163,"")</f>
        <v/>
      </c>
      <c r="L163" s="40">
        <f>IF($C163="","",IF($C163&gt;='参数配置'!$B$14,"高流量","低流量"))</f>
        <v/>
      </c>
      <c r="M163" s="40">
        <f>IF($J163="","",IF($J163&gt;='参数配置'!$B$15,"高转化","低转化"))</f>
        <v/>
      </c>
      <c r="N163" s="48">
        <f>IF(OR($L163="",$M163=""),"",$L163&amp;$M163)</f>
        <v/>
      </c>
      <c r="O163" s="6">
        <f>IF($N163="","",IF($N163="高流量高转化","主推：加库存/上活动/扩达人/试投流",IF($N163="高流量低转化","查转化：价格/运费/优惠券/主图/详情/评价/客服",IF($N163="低流量高转化","加曝光：达人/短视频/直播/商城活动+秒杀",IF($N163="低流量低转化","下架或改图改标题重测/放弃","")))))</f>
        <v/>
      </c>
      <c r="P163" s="6">
        <f>IF($K163="","",IF($K163&gt;'参数配置'!$B$16,"⚠️退款率偏高·查质量/尺码/物流",""))</f>
        <v/>
      </c>
    </row>
    <row r="164">
      <c r="A164" s="52" t="n"/>
      <c r="B164" s="46">
        <f>IFERROR(VLOOKUP($A164,'SKU主表'!$A:$M,2,0),"")</f>
        <v/>
      </c>
      <c r="C164" s="61" t="n"/>
      <c r="D164" s="61" t="n"/>
      <c r="E164" s="61" t="n"/>
      <c r="F164" s="61" t="n"/>
      <c r="G164" s="61" t="n"/>
      <c r="H164" s="57">
        <f>IFERROR($D164/$C164,"")</f>
        <v/>
      </c>
      <c r="I164" s="57">
        <f>IFERROR($E164/$D164,"")</f>
        <v/>
      </c>
      <c r="J164" s="57">
        <f>IFERROR($F164/$E164,"")</f>
        <v/>
      </c>
      <c r="K164" s="57">
        <f>IFERROR($G164/$F164,"")</f>
        <v/>
      </c>
      <c r="L164" s="40">
        <f>IF($C164="","",IF($C164&gt;='参数配置'!$B$14,"高流量","低流量"))</f>
        <v/>
      </c>
      <c r="M164" s="40">
        <f>IF($J164="","",IF($J164&gt;='参数配置'!$B$15,"高转化","低转化"))</f>
        <v/>
      </c>
      <c r="N164" s="48">
        <f>IF(OR($L164="",$M164=""),"",$L164&amp;$M164)</f>
        <v/>
      </c>
      <c r="O164" s="6">
        <f>IF($N164="","",IF($N164="高流量高转化","主推：加库存/上活动/扩达人/试投流",IF($N164="高流量低转化","查转化：价格/运费/优惠券/主图/详情/评价/客服",IF($N164="低流量高转化","加曝光：达人/短视频/直播/商城活动+秒杀",IF($N164="低流量低转化","下架或改图改标题重测/放弃","")))))</f>
        <v/>
      </c>
      <c r="P164" s="6">
        <f>IF($K164="","",IF($K164&gt;'参数配置'!$B$16,"⚠️退款率偏高·查质量/尺码/物流",""))</f>
        <v/>
      </c>
    </row>
    <row r="165">
      <c r="A165" s="52" t="n"/>
      <c r="B165" s="46">
        <f>IFERROR(VLOOKUP($A165,'SKU主表'!$A:$M,2,0),"")</f>
        <v/>
      </c>
      <c r="C165" s="61" t="n"/>
      <c r="D165" s="61" t="n"/>
      <c r="E165" s="61" t="n"/>
      <c r="F165" s="61" t="n"/>
      <c r="G165" s="61" t="n"/>
      <c r="H165" s="57">
        <f>IFERROR($D165/$C165,"")</f>
        <v/>
      </c>
      <c r="I165" s="57">
        <f>IFERROR($E165/$D165,"")</f>
        <v/>
      </c>
      <c r="J165" s="57">
        <f>IFERROR($F165/$E165,"")</f>
        <v/>
      </c>
      <c r="K165" s="57">
        <f>IFERROR($G165/$F165,"")</f>
        <v/>
      </c>
      <c r="L165" s="40">
        <f>IF($C165="","",IF($C165&gt;='参数配置'!$B$14,"高流量","低流量"))</f>
        <v/>
      </c>
      <c r="M165" s="40">
        <f>IF($J165="","",IF($J165&gt;='参数配置'!$B$15,"高转化","低转化"))</f>
        <v/>
      </c>
      <c r="N165" s="48">
        <f>IF(OR($L165="",$M165=""),"",$L165&amp;$M165)</f>
        <v/>
      </c>
      <c r="O165" s="6">
        <f>IF($N165="","",IF($N165="高流量高转化","主推：加库存/上活动/扩达人/试投流",IF($N165="高流量低转化","查转化：价格/运费/优惠券/主图/详情/评价/客服",IF($N165="低流量高转化","加曝光：达人/短视频/直播/商城活动+秒杀",IF($N165="低流量低转化","下架或改图改标题重测/放弃","")))))</f>
        <v/>
      </c>
      <c r="P165" s="6">
        <f>IF($K165="","",IF($K165&gt;'参数配置'!$B$16,"⚠️退款率偏高·查质量/尺码/物流",""))</f>
        <v/>
      </c>
    </row>
    <row r="166">
      <c r="A166" s="52" t="n"/>
      <c r="B166" s="46">
        <f>IFERROR(VLOOKUP($A166,'SKU主表'!$A:$M,2,0),"")</f>
        <v/>
      </c>
      <c r="C166" s="61" t="n"/>
      <c r="D166" s="61" t="n"/>
      <c r="E166" s="61" t="n"/>
      <c r="F166" s="61" t="n"/>
      <c r="G166" s="61" t="n"/>
      <c r="H166" s="57">
        <f>IFERROR($D166/$C166,"")</f>
        <v/>
      </c>
      <c r="I166" s="57">
        <f>IFERROR($E166/$D166,"")</f>
        <v/>
      </c>
      <c r="J166" s="57">
        <f>IFERROR($F166/$E166,"")</f>
        <v/>
      </c>
      <c r="K166" s="57">
        <f>IFERROR($G166/$F166,"")</f>
        <v/>
      </c>
      <c r="L166" s="40">
        <f>IF($C166="","",IF($C166&gt;='参数配置'!$B$14,"高流量","低流量"))</f>
        <v/>
      </c>
      <c r="M166" s="40">
        <f>IF($J166="","",IF($J166&gt;='参数配置'!$B$15,"高转化","低转化"))</f>
        <v/>
      </c>
      <c r="N166" s="48">
        <f>IF(OR($L166="",$M166=""),"",$L166&amp;$M166)</f>
        <v/>
      </c>
      <c r="O166" s="6">
        <f>IF($N166="","",IF($N166="高流量高转化","主推：加库存/上活动/扩达人/试投流",IF($N166="高流量低转化","查转化：价格/运费/优惠券/主图/详情/评价/客服",IF($N166="低流量高转化","加曝光：达人/短视频/直播/商城活动+秒杀",IF($N166="低流量低转化","下架或改图改标题重测/放弃","")))))</f>
        <v/>
      </c>
      <c r="P166" s="6">
        <f>IF($K166="","",IF($K166&gt;'参数配置'!$B$16,"⚠️退款率偏高·查质量/尺码/物流",""))</f>
        <v/>
      </c>
    </row>
    <row r="167">
      <c r="A167" s="52" t="n"/>
      <c r="B167" s="46">
        <f>IFERROR(VLOOKUP($A167,'SKU主表'!$A:$M,2,0),"")</f>
        <v/>
      </c>
      <c r="C167" s="61" t="n"/>
      <c r="D167" s="61" t="n"/>
      <c r="E167" s="61" t="n"/>
      <c r="F167" s="61" t="n"/>
      <c r="G167" s="61" t="n"/>
      <c r="H167" s="57">
        <f>IFERROR($D167/$C167,"")</f>
        <v/>
      </c>
      <c r="I167" s="57">
        <f>IFERROR($E167/$D167,"")</f>
        <v/>
      </c>
      <c r="J167" s="57">
        <f>IFERROR($F167/$E167,"")</f>
        <v/>
      </c>
      <c r="K167" s="57">
        <f>IFERROR($G167/$F167,"")</f>
        <v/>
      </c>
      <c r="L167" s="40">
        <f>IF($C167="","",IF($C167&gt;='参数配置'!$B$14,"高流量","低流量"))</f>
        <v/>
      </c>
      <c r="M167" s="40">
        <f>IF($J167="","",IF($J167&gt;='参数配置'!$B$15,"高转化","低转化"))</f>
        <v/>
      </c>
      <c r="N167" s="48">
        <f>IF(OR($L167="",$M167=""),"",$L167&amp;$M167)</f>
        <v/>
      </c>
      <c r="O167" s="6">
        <f>IF($N167="","",IF($N167="高流量高转化","主推：加库存/上活动/扩达人/试投流",IF($N167="高流量低转化","查转化：价格/运费/优惠券/主图/详情/评价/客服",IF($N167="低流量高转化","加曝光：达人/短视频/直播/商城活动+秒杀",IF($N167="低流量低转化","下架或改图改标题重测/放弃","")))))</f>
        <v/>
      </c>
      <c r="P167" s="6">
        <f>IF($K167="","",IF($K167&gt;'参数配置'!$B$16,"⚠️退款率偏高·查质量/尺码/物流",""))</f>
        <v/>
      </c>
    </row>
    <row r="168">
      <c r="A168" s="52" t="n"/>
      <c r="B168" s="46">
        <f>IFERROR(VLOOKUP($A168,'SKU主表'!$A:$M,2,0),"")</f>
        <v/>
      </c>
      <c r="C168" s="61" t="n"/>
      <c r="D168" s="61" t="n"/>
      <c r="E168" s="61" t="n"/>
      <c r="F168" s="61" t="n"/>
      <c r="G168" s="61" t="n"/>
      <c r="H168" s="57">
        <f>IFERROR($D168/$C168,"")</f>
        <v/>
      </c>
      <c r="I168" s="57">
        <f>IFERROR($E168/$D168,"")</f>
        <v/>
      </c>
      <c r="J168" s="57">
        <f>IFERROR($F168/$E168,"")</f>
        <v/>
      </c>
      <c r="K168" s="57">
        <f>IFERROR($G168/$F168,"")</f>
        <v/>
      </c>
      <c r="L168" s="40">
        <f>IF($C168="","",IF($C168&gt;='参数配置'!$B$14,"高流量","低流量"))</f>
        <v/>
      </c>
      <c r="M168" s="40">
        <f>IF($J168="","",IF($J168&gt;='参数配置'!$B$15,"高转化","低转化"))</f>
        <v/>
      </c>
      <c r="N168" s="48">
        <f>IF(OR($L168="",$M168=""),"",$L168&amp;$M168)</f>
        <v/>
      </c>
      <c r="O168" s="6">
        <f>IF($N168="","",IF($N168="高流量高转化","主推：加库存/上活动/扩达人/试投流",IF($N168="高流量低转化","查转化：价格/运费/优惠券/主图/详情/评价/客服",IF($N168="低流量高转化","加曝光：达人/短视频/直播/商城活动+秒杀",IF($N168="低流量低转化","下架或改图改标题重测/放弃","")))))</f>
        <v/>
      </c>
      <c r="P168" s="6">
        <f>IF($K168="","",IF($K168&gt;'参数配置'!$B$16,"⚠️退款率偏高·查质量/尺码/物流",""))</f>
        <v/>
      </c>
    </row>
    <row r="169">
      <c r="A169" s="52" t="n"/>
      <c r="B169" s="46">
        <f>IFERROR(VLOOKUP($A169,'SKU主表'!$A:$M,2,0),"")</f>
        <v/>
      </c>
      <c r="C169" s="61" t="n"/>
      <c r="D169" s="61" t="n"/>
      <c r="E169" s="61" t="n"/>
      <c r="F169" s="61" t="n"/>
      <c r="G169" s="61" t="n"/>
      <c r="H169" s="57">
        <f>IFERROR($D169/$C169,"")</f>
        <v/>
      </c>
      <c r="I169" s="57">
        <f>IFERROR($E169/$D169,"")</f>
        <v/>
      </c>
      <c r="J169" s="57">
        <f>IFERROR($F169/$E169,"")</f>
        <v/>
      </c>
      <c r="K169" s="57">
        <f>IFERROR($G169/$F169,"")</f>
        <v/>
      </c>
      <c r="L169" s="40">
        <f>IF($C169="","",IF($C169&gt;='参数配置'!$B$14,"高流量","低流量"))</f>
        <v/>
      </c>
      <c r="M169" s="40">
        <f>IF($J169="","",IF($J169&gt;='参数配置'!$B$15,"高转化","低转化"))</f>
        <v/>
      </c>
      <c r="N169" s="48">
        <f>IF(OR($L169="",$M169=""),"",$L169&amp;$M169)</f>
        <v/>
      </c>
      <c r="O169" s="6">
        <f>IF($N169="","",IF($N169="高流量高转化","主推：加库存/上活动/扩达人/试投流",IF($N169="高流量低转化","查转化：价格/运费/优惠券/主图/详情/评价/客服",IF($N169="低流量高转化","加曝光：达人/短视频/直播/商城活动+秒杀",IF($N169="低流量低转化","下架或改图改标题重测/放弃","")))))</f>
        <v/>
      </c>
      <c r="P169" s="6">
        <f>IF($K169="","",IF($K169&gt;'参数配置'!$B$16,"⚠️退款率偏高·查质量/尺码/物流",""))</f>
        <v/>
      </c>
    </row>
    <row r="170">
      <c r="A170" s="52" t="n"/>
      <c r="B170" s="46">
        <f>IFERROR(VLOOKUP($A170,'SKU主表'!$A:$M,2,0),"")</f>
        <v/>
      </c>
      <c r="C170" s="61" t="n"/>
      <c r="D170" s="61" t="n"/>
      <c r="E170" s="61" t="n"/>
      <c r="F170" s="61" t="n"/>
      <c r="G170" s="61" t="n"/>
      <c r="H170" s="57">
        <f>IFERROR($D170/$C170,"")</f>
        <v/>
      </c>
      <c r="I170" s="57">
        <f>IFERROR($E170/$D170,"")</f>
        <v/>
      </c>
      <c r="J170" s="57">
        <f>IFERROR($F170/$E170,"")</f>
        <v/>
      </c>
      <c r="K170" s="57">
        <f>IFERROR($G170/$F170,"")</f>
        <v/>
      </c>
      <c r="L170" s="40">
        <f>IF($C170="","",IF($C170&gt;='参数配置'!$B$14,"高流量","低流量"))</f>
        <v/>
      </c>
      <c r="M170" s="40">
        <f>IF($J170="","",IF($J170&gt;='参数配置'!$B$15,"高转化","低转化"))</f>
        <v/>
      </c>
      <c r="N170" s="48">
        <f>IF(OR($L170="",$M170=""),"",$L170&amp;$M170)</f>
        <v/>
      </c>
      <c r="O170" s="6">
        <f>IF($N170="","",IF($N170="高流量高转化","主推：加库存/上活动/扩达人/试投流",IF($N170="高流量低转化","查转化：价格/运费/优惠券/主图/详情/评价/客服",IF($N170="低流量高转化","加曝光：达人/短视频/直播/商城活动+秒杀",IF($N170="低流量低转化","下架或改图改标题重测/放弃","")))))</f>
        <v/>
      </c>
      <c r="P170" s="6">
        <f>IF($K170="","",IF($K170&gt;'参数配置'!$B$16,"⚠️退款率偏高·查质量/尺码/物流",""))</f>
        <v/>
      </c>
    </row>
    <row r="171">
      <c r="A171" s="52" t="n"/>
      <c r="B171" s="46">
        <f>IFERROR(VLOOKUP($A171,'SKU主表'!$A:$M,2,0),"")</f>
        <v/>
      </c>
      <c r="C171" s="61" t="n"/>
      <c r="D171" s="61" t="n"/>
      <c r="E171" s="61" t="n"/>
      <c r="F171" s="61" t="n"/>
      <c r="G171" s="61" t="n"/>
      <c r="H171" s="57">
        <f>IFERROR($D171/$C171,"")</f>
        <v/>
      </c>
      <c r="I171" s="57">
        <f>IFERROR($E171/$D171,"")</f>
        <v/>
      </c>
      <c r="J171" s="57">
        <f>IFERROR($F171/$E171,"")</f>
        <v/>
      </c>
      <c r="K171" s="57">
        <f>IFERROR($G171/$F171,"")</f>
        <v/>
      </c>
      <c r="L171" s="40">
        <f>IF($C171="","",IF($C171&gt;='参数配置'!$B$14,"高流量","低流量"))</f>
        <v/>
      </c>
      <c r="M171" s="40">
        <f>IF($J171="","",IF($J171&gt;='参数配置'!$B$15,"高转化","低转化"))</f>
        <v/>
      </c>
      <c r="N171" s="48">
        <f>IF(OR($L171="",$M171=""),"",$L171&amp;$M171)</f>
        <v/>
      </c>
      <c r="O171" s="6">
        <f>IF($N171="","",IF($N171="高流量高转化","主推：加库存/上活动/扩达人/试投流",IF($N171="高流量低转化","查转化：价格/运费/优惠券/主图/详情/评价/客服",IF($N171="低流量高转化","加曝光：达人/短视频/直播/商城活动+秒杀",IF($N171="低流量低转化","下架或改图改标题重测/放弃","")))))</f>
        <v/>
      </c>
      <c r="P171" s="6">
        <f>IF($K171="","",IF($K171&gt;'参数配置'!$B$16,"⚠️退款率偏高·查质量/尺码/物流",""))</f>
        <v/>
      </c>
    </row>
    <row r="172">
      <c r="A172" s="52" t="n"/>
      <c r="B172" s="46">
        <f>IFERROR(VLOOKUP($A172,'SKU主表'!$A:$M,2,0),"")</f>
        <v/>
      </c>
      <c r="C172" s="61" t="n"/>
      <c r="D172" s="61" t="n"/>
      <c r="E172" s="61" t="n"/>
      <c r="F172" s="61" t="n"/>
      <c r="G172" s="61" t="n"/>
      <c r="H172" s="57">
        <f>IFERROR($D172/$C172,"")</f>
        <v/>
      </c>
      <c r="I172" s="57">
        <f>IFERROR($E172/$D172,"")</f>
        <v/>
      </c>
      <c r="J172" s="57">
        <f>IFERROR($F172/$E172,"")</f>
        <v/>
      </c>
      <c r="K172" s="57">
        <f>IFERROR($G172/$F172,"")</f>
        <v/>
      </c>
      <c r="L172" s="40">
        <f>IF($C172="","",IF($C172&gt;='参数配置'!$B$14,"高流量","低流量"))</f>
        <v/>
      </c>
      <c r="M172" s="40">
        <f>IF($J172="","",IF($J172&gt;='参数配置'!$B$15,"高转化","低转化"))</f>
        <v/>
      </c>
      <c r="N172" s="48">
        <f>IF(OR($L172="",$M172=""),"",$L172&amp;$M172)</f>
        <v/>
      </c>
      <c r="O172" s="6">
        <f>IF($N172="","",IF($N172="高流量高转化","主推：加库存/上活动/扩达人/试投流",IF($N172="高流量低转化","查转化：价格/运费/优惠券/主图/详情/评价/客服",IF($N172="低流量高转化","加曝光：达人/短视频/直播/商城活动+秒杀",IF($N172="低流量低转化","下架或改图改标题重测/放弃","")))))</f>
        <v/>
      </c>
      <c r="P172" s="6">
        <f>IF($K172="","",IF($K172&gt;'参数配置'!$B$16,"⚠️退款率偏高·查质量/尺码/物流",""))</f>
        <v/>
      </c>
    </row>
    <row r="173">
      <c r="A173" s="52" t="n"/>
      <c r="B173" s="46">
        <f>IFERROR(VLOOKUP($A173,'SKU主表'!$A:$M,2,0),"")</f>
        <v/>
      </c>
      <c r="C173" s="61" t="n"/>
      <c r="D173" s="61" t="n"/>
      <c r="E173" s="61" t="n"/>
      <c r="F173" s="61" t="n"/>
      <c r="G173" s="61" t="n"/>
      <c r="H173" s="57">
        <f>IFERROR($D173/$C173,"")</f>
        <v/>
      </c>
      <c r="I173" s="57">
        <f>IFERROR($E173/$D173,"")</f>
        <v/>
      </c>
      <c r="J173" s="57">
        <f>IFERROR($F173/$E173,"")</f>
        <v/>
      </c>
      <c r="K173" s="57">
        <f>IFERROR($G173/$F173,"")</f>
        <v/>
      </c>
      <c r="L173" s="40">
        <f>IF($C173="","",IF($C173&gt;='参数配置'!$B$14,"高流量","低流量"))</f>
        <v/>
      </c>
      <c r="M173" s="40">
        <f>IF($J173="","",IF($J173&gt;='参数配置'!$B$15,"高转化","低转化"))</f>
        <v/>
      </c>
      <c r="N173" s="48">
        <f>IF(OR($L173="",$M173=""),"",$L173&amp;$M173)</f>
        <v/>
      </c>
      <c r="O173" s="6">
        <f>IF($N173="","",IF($N173="高流量高转化","主推：加库存/上活动/扩达人/试投流",IF($N173="高流量低转化","查转化：价格/运费/优惠券/主图/详情/评价/客服",IF($N173="低流量高转化","加曝光：达人/短视频/直播/商城活动+秒杀",IF($N173="低流量低转化","下架或改图改标题重测/放弃","")))))</f>
        <v/>
      </c>
      <c r="P173" s="6">
        <f>IF($K173="","",IF($K173&gt;'参数配置'!$B$16,"⚠️退款率偏高·查质量/尺码/物流",""))</f>
        <v/>
      </c>
    </row>
    <row r="174">
      <c r="A174" s="52" t="n"/>
      <c r="B174" s="46">
        <f>IFERROR(VLOOKUP($A174,'SKU主表'!$A:$M,2,0),"")</f>
        <v/>
      </c>
      <c r="C174" s="61" t="n"/>
      <c r="D174" s="61" t="n"/>
      <c r="E174" s="61" t="n"/>
      <c r="F174" s="61" t="n"/>
      <c r="G174" s="61" t="n"/>
      <c r="H174" s="57">
        <f>IFERROR($D174/$C174,"")</f>
        <v/>
      </c>
      <c r="I174" s="57">
        <f>IFERROR($E174/$D174,"")</f>
        <v/>
      </c>
      <c r="J174" s="57">
        <f>IFERROR($F174/$E174,"")</f>
        <v/>
      </c>
      <c r="K174" s="57">
        <f>IFERROR($G174/$F174,"")</f>
        <v/>
      </c>
      <c r="L174" s="40">
        <f>IF($C174="","",IF($C174&gt;='参数配置'!$B$14,"高流量","低流量"))</f>
        <v/>
      </c>
      <c r="M174" s="40">
        <f>IF($J174="","",IF($J174&gt;='参数配置'!$B$15,"高转化","低转化"))</f>
        <v/>
      </c>
      <c r="N174" s="48">
        <f>IF(OR($L174="",$M174=""),"",$L174&amp;$M174)</f>
        <v/>
      </c>
      <c r="O174" s="6">
        <f>IF($N174="","",IF($N174="高流量高转化","主推：加库存/上活动/扩达人/试投流",IF($N174="高流量低转化","查转化：价格/运费/优惠券/主图/详情/评价/客服",IF($N174="低流量高转化","加曝光：达人/短视频/直播/商城活动+秒杀",IF($N174="低流量低转化","下架或改图改标题重测/放弃","")))))</f>
        <v/>
      </c>
      <c r="P174" s="6">
        <f>IF($K174="","",IF($K174&gt;'参数配置'!$B$16,"⚠️退款率偏高·查质量/尺码/物流",""))</f>
        <v/>
      </c>
    </row>
    <row r="175">
      <c r="A175" s="52" t="n"/>
      <c r="B175" s="46">
        <f>IFERROR(VLOOKUP($A175,'SKU主表'!$A:$M,2,0),"")</f>
        <v/>
      </c>
      <c r="C175" s="61" t="n"/>
      <c r="D175" s="61" t="n"/>
      <c r="E175" s="61" t="n"/>
      <c r="F175" s="61" t="n"/>
      <c r="G175" s="61" t="n"/>
      <c r="H175" s="57">
        <f>IFERROR($D175/$C175,"")</f>
        <v/>
      </c>
      <c r="I175" s="57">
        <f>IFERROR($E175/$D175,"")</f>
        <v/>
      </c>
      <c r="J175" s="57">
        <f>IFERROR($F175/$E175,"")</f>
        <v/>
      </c>
      <c r="K175" s="57">
        <f>IFERROR($G175/$F175,"")</f>
        <v/>
      </c>
      <c r="L175" s="40">
        <f>IF($C175="","",IF($C175&gt;='参数配置'!$B$14,"高流量","低流量"))</f>
        <v/>
      </c>
      <c r="M175" s="40">
        <f>IF($J175="","",IF($J175&gt;='参数配置'!$B$15,"高转化","低转化"))</f>
        <v/>
      </c>
      <c r="N175" s="48">
        <f>IF(OR($L175="",$M175=""),"",$L175&amp;$M175)</f>
        <v/>
      </c>
      <c r="O175" s="6">
        <f>IF($N175="","",IF($N175="高流量高转化","主推：加库存/上活动/扩达人/试投流",IF($N175="高流量低转化","查转化：价格/运费/优惠券/主图/详情/评价/客服",IF($N175="低流量高转化","加曝光：达人/短视频/直播/商城活动+秒杀",IF($N175="低流量低转化","下架或改图改标题重测/放弃","")))))</f>
        <v/>
      </c>
      <c r="P175" s="6">
        <f>IF($K175="","",IF($K175&gt;'参数配置'!$B$16,"⚠️退款率偏高·查质量/尺码/物流",""))</f>
        <v/>
      </c>
    </row>
    <row r="176">
      <c r="A176" s="52" t="n"/>
      <c r="B176" s="46">
        <f>IFERROR(VLOOKUP($A176,'SKU主表'!$A:$M,2,0),"")</f>
        <v/>
      </c>
      <c r="C176" s="61" t="n"/>
      <c r="D176" s="61" t="n"/>
      <c r="E176" s="61" t="n"/>
      <c r="F176" s="61" t="n"/>
      <c r="G176" s="61" t="n"/>
      <c r="H176" s="57">
        <f>IFERROR($D176/$C176,"")</f>
        <v/>
      </c>
      <c r="I176" s="57">
        <f>IFERROR($E176/$D176,"")</f>
        <v/>
      </c>
      <c r="J176" s="57">
        <f>IFERROR($F176/$E176,"")</f>
        <v/>
      </c>
      <c r="K176" s="57">
        <f>IFERROR($G176/$F176,"")</f>
        <v/>
      </c>
      <c r="L176" s="40">
        <f>IF($C176="","",IF($C176&gt;='参数配置'!$B$14,"高流量","低流量"))</f>
        <v/>
      </c>
      <c r="M176" s="40">
        <f>IF($J176="","",IF($J176&gt;='参数配置'!$B$15,"高转化","低转化"))</f>
        <v/>
      </c>
      <c r="N176" s="48">
        <f>IF(OR($L176="",$M176=""),"",$L176&amp;$M176)</f>
        <v/>
      </c>
      <c r="O176" s="6">
        <f>IF($N176="","",IF($N176="高流量高转化","主推：加库存/上活动/扩达人/试投流",IF($N176="高流量低转化","查转化：价格/运费/优惠券/主图/详情/评价/客服",IF($N176="低流量高转化","加曝光：达人/短视频/直播/商城活动+秒杀",IF($N176="低流量低转化","下架或改图改标题重测/放弃","")))))</f>
        <v/>
      </c>
      <c r="P176" s="6">
        <f>IF($K176="","",IF($K176&gt;'参数配置'!$B$16,"⚠️退款率偏高·查质量/尺码/物流",""))</f>
        <v/>
      </c>
    </row>
    <row r="177">
      <c r="A177" s="52" t="n"/>
      <c r="B177" s="46">
        <f>IFERROR(VLOOKUP($A177,'SKU主表'!$A:$M,2,0),"")</f>
        <v/>
      </c>
      <c r="C177" s="61" t="n"/>
      <c r="D177" s="61" t="n"/>
      <c r="E177" s="61" t="n"/>
      <c r="F177" s="61" t="n"/>
      <c r="G177" s="61" t="n"/>
      <c r="H177" s="57">
        <f>IFERROR($D177/$C177,"")</f>
        <v/>
      </c>
      <c r="I177" s="57">
        <f>IFERROR($E177/$D177,"")</f>
        <v/>
      </c>
      <c r="J177" s="57">
        <f>IFERROR($F177/$E177,"")</f>
        <v/>
      </c>
      <c r="K177" s="57">
        <f>IFERROR($G177/$F177,"")</f>
        <v/>
      </c>
      <c r="L177" s="40">
        <f>IF($C177="","",IF($C177&gt;='参数配置'!$B$14,"高流量","低流量"))</f>
        <v/>
      </c>
      <c r="M177" s="40">
        <f>IF($J177="","",IF($J177&gt;='参数配置'!$B$15,"高转化","低转化"))</f>
        <v/>
      </c>
      <c r="N177" s="48">
        <f>IF(OR($L177="",$M177=""),"",$L177&amp;$M177)</f>
        <v/>
      </c>
      <c r="O177" s="6">
        <f>IF($N177="","",IF($N177="高流量高转化","主推：加库存/上活动/扩达人/试投流",IF($N177="高流量低转化","查转化：价格/运费/优惠券/主图/详情/评价/客服",IF($N177="低流量高转化","加曝光：达人/短视频/直播/商城活动+秒杀",IF($N177="低流量低转化","下架或改图改标题重测/放弃","")))))</f>
        <v/>
      </c>
      <c r="P177" s="6">
        <f>IF($K177="","",IF($K177&gt;'参数配置'!$B$16,"⚠️退款率偏高·查质量/尺码/物流",""))</f>
        <v/>
      </c>
    </row>
    <row r="178">
      <c r="A178" s="52" t="n"/>
      <c r="B178" s="46">
        <f>IFERROR(VLOOKUP($A178,'SKU主表'!$A:$M,2,0),"")</f>
        <v/>
      </c>
      <c r="C178" s="61" t="n"/>
      <c r="D178" s="61" t="n"/>
      <c r="E178" s="61" t="n"/>
      <c r="F178" s="61" t="n"/>
      <c r="G178" s="61" t="n"/>
      <c r="H178" s="57">
        <f>IFERROR($D178/$C178,"")</f>
        <v/>
      </c>
      <c r="I178" s="57">
        <f>IFERROR($E178/$D178,"")</f>
        <v/>
      </c>
      <c r="J178" s="57">
        <f>IFERROR($F178/$E178,"")</f>
        <v/>
      </c>
      <c r="K178" s="57">
        <f>IFERROR($G178/$F178,"")</f>
        <v/>
      </c>
      <c r="L178" s="40">
        <f>IF($C178="","",IF($C178&gt;='参数配置'!$B$14,"高流量","低流量"))</f>
        <v/>
      </c>
      <c r="M178" s="40">
        <f>IF($J178="","",IF($J178&gt;='参数配置'!$B$15,"高转化","低转化"))</f>
        <v/>
      </c>
      <c r="N178" s="48">
        <f>IF(OR($L178="",$M178=""),"",$L178&amp;$M178)</f>
        <v/>
      </c>
      <c r="O178" s="6">
        <f>IF($N178="","",IF($N178="高流量高转化","主推：加库存/上活动/扩达人/试投流",IF($N178="高流量低转化","查转化：价格/运费/优惠券/主图/详情/评价/客服",IF($N178="低流量高转化","加曝光：达人/短视频/直播/商城活动+秒杀",IF($N178="低流量低转化","下架或改图改标题重测/放弃","")))))</f>
        <v/>
      </c>
      <c r="P178" s="6">
        <f>IF($K178="","",IF($K178&gt;'参数配置'!$B$16,"⚠️退款率偏高·查质量/尺码/物流",""))</f>
        <v/>
      </c>
    </row>
    <row r="179">
      <c r="A179" s="52" t="n"/>
      <c r="B179" s="46">
        <f>IFERROR(VLOOKUP($A179,'SKU主表'!$A:$M,2,0),"")</f>
        <v/>
      </c>
      <c r="C179" s="61" t="n"/>
      <c r="D179" s="61" t="n"/>
      <c r="E179" s="61" t="n"/>
      <c r="F179" s="61" t="n"/>
      <c r="G179" s="61" t="n"/>
      <c r="H179" s="57">
        <f>IFERROR($D179/$C179,"")</f>
        <v/>
      </c>
      <c r="I179" s="57">
        <f>IFERROR($E179/$D179,"")</f>
        <v/>
      </c>
      <c r="J179" s="57">
        <f>IFERROR($F179/$E179,"")</f>
        <v/>
      </c>
      <c r="K179" s="57">
        <f>IFERROR($G179/$F179,"")</f>
        <v/>
      </c>
      <c r="L179" s="40">
        <f>IF($C179="","",IF($C179&gt;='参数配置'!$B$14,"高流量","低流量"))</f>
        <v/>
      </c>
      <c r="M179" s="40">
        <f>IF($J179="","",IF($J179&gt;='参数配置'!$B$15,"高转化","低转化"))</f>
        <v/>
      </c>
      <c r="N179" s="48">
        <f>IF(OR($L179="",$M179=""),"",$L179&amp;$M179)</f>
        <v/>
      </c>
      <c r="O179" s="6">
        <f>IF($N179="","",IF($N179="高流量高转化","主推：加库存/上活动/扩达人/试投流",IF($N179="高流量低转化","查转化：价格/运费/优惠券/主图/详情/评价/客服",IF($N179="低流量高转化","加曝光：达人/短视频/直播/商城活动+秒杀",IF($N179="低流量低转化","下架或改图改标题重测/放弃","")))))</f>
        <v/>
      </c>
      <c r="P179" s="6">
        <f>IF($K179="","",IF($K179&gt;'参数配置'!$B$16,"⚠️退款率偏高·查质量/尺码/物流",""))</f>
        <v/>
      </c>
    </row>
    <row r="180">
      <c r="A180" s="52" t="n"/>
      <c r="B180" s="46">
        <f>IFERROR(VLOOKUP($A180,'SKU主表'!$A:$M,2,0),"")</f>
        <v/>
      </c>
      <c r="C180" s="61" t="n"/>
      <c r="D180" s="61" t="n"/>
      <c r="E180" s="61" t="n"/>
      <c r="F180" s="61" t="n"/>
      <c r="G180" s="61" t="n"/>
      <c r="H180" s="57">
        <f>IFERROR($D180/$C180,"")</f>
        <v/>
      </c>
      <c r="I180" s="57">
        <f>IFERROR($E180/$D180,"")</f>
        <v/>
      </c>
      <c r="J180" s="57">
        <f>IFERROR($F180/$E180,"")</f>
        <v/>
      </c>
      <c r="K180" s="57">
        <f>IFERROR($G180/$F180,"")</f>
        <v/>
      </c>
      <c r="L180" s="40">
        <f>IF($C180="","",IF($C180&gt;='参数配置'!$B$14,"高流量","低流量"))</f>
        <v/>
      </c>
      <c r="M180" s="40">
        <f>IF($J180="","",IF($J180&gt;='参数配置'!$B$15,"高转化","低转化"))</f>
        <v/>
      </c>
      <c r="N180" s="48">
        <f>IF(OR($L180="",$M180=""),"",$L180&amp;$M180)</f>
        <v/>
      </c>
      <c r="O180" s="6">
        <f>IF($N180="","",IF($N180="高流量高转化","主推：加库存/上活动/扩达人/试投流",IF($N180="高流量低转化","查转化：价格/运费/优惠券/主图/详情/评价/客服",IF($N180="低流量高转化","加曝光：达人/短视频/直播/商城活动+秒杀",IF($N180="低流量低转化","下架或改图改标题重测/放弃","")))))</f>
        <v/>
      </c>
      <c r="P180" s="6">
        <f>IF($K180="","",IF($K180&gt;'参数配置'!$B$16,"⚠️退款率偏高·查质量/尺码/物流",""))</f>
        <v/>
      </c>
    </row>
    <row r="181">
      <c r="A181" s="52" t="n"/>
      <c r="B181" s="46">
        <f>IFERROR(VLOOKUP($A181,'SKU主表'!$A:$M,2,0),"")</f>
        <v/>
      </c>
      <c r="C181" s="61" t="n"/>
      <c r="D181" s="61" t="n"/>
      <c r="E181" s="61" t="n"/>
      <c r="F181" s="61" t="n"/>
      <c r="G181" s="61" t="n"/>
      <c r="H181" s="57">
        <f>IFERROR($D181/$C181,"")</f>
        <v/>
      </c>
      <c r="I181" s="57">
        <f>IFERROR($E181/$D181,"")</f>
        <v/>
      </c>
      <c r="J181" s="57">
        <f>IFERROR($F181/$E181,"")</f>
        <v/>
      </c>
      <c r="K181" s="57">
        <f>IFERROR($G181/$F181,"")</f>
        <v/>
      </c>
      <c r="L181" s="40">
        <f>IF($C181="","",IF($C181&gt;='参数配置'!$B$14,"高流量","低流量"))</f>
        <v/>
      </c>
      <c r="M181" s="40">
        <f>IF($J181="","",IF($J181&gt;='参数配置'!$B$15,"高转化","低转化"))</f>
        <v/>
      </c>
      <c r="N181" s="48">
        <f>IF(OR($L181="",$M181=""),"",$L181&amp;$M181)</f>
        <v/>
      </c>
      <c r="O181" s="6">
        <f>IF($N181="","",IF($N181="高流量高转化","主推：加库存/上活动/扩达人/试投流",IF($N181="高流量低转化","查转化：价格/运费/优惠券/主图/详情/评价/客服",IF($N181="低流量高转化","加曝光：达人/短视频/直播/商城活动+秒杀",IF($N181="低流量低转化","下架或改图改标题重测/放弃","")))))</f>
        <v/>
      </c>
      <c r="P181" s="6">
        <f>IF($K181="","",IF($K181&gt;'参数配置'!$B$16,"⚠️退款率偏高·查质量/尺码/物流",""))</f>
        <v/>
      </c>
    </row>
    <row r="182">
      <c r="A182" s="52" t="n"/>
      <c r="B182" s="46">
        <f>IFERROR(VLOOKUP($A182,'SKU主表'!$A:$M,2,0),"")</f>
        <v/>
      </c>
      <c r="C182" s="61" t="n"/>
      <c r="D182" s="61" t="n"/>
      <c r="E182" s="61" t="n"/>
      <c r="F182" s="61" t="n"/>
      <c r="G182" s="61" t="n"/>
      <c r="H182" s="57">
        <f>IFERROR($D182/$C182,"")</f>
        <v/>
      </c>
      <c r="I182" s="57">
        <f>IFERROR($E182/$D182,"")</f>
        <v/>
      </c>
      <c r="J182" s="57">
        <f>IFERROR($F182/$E182,"")</f>
        <v/>
      </c>
      <c r="K182" s="57">
        <f>IFERROR($G182/$F182,"")</f>
        <v/>
      </c>
      <c r="L182" s="40">
        <f>IF($C182="","",IF($C182&gt;='参数配置'!$B$14,"高流量","低流量"))</f>
        <v/>
      </c>
      <c r="M182" s="40">
        <f>IF($J182="","",IF($J182&gt;='参数配置'!$B$15,"高转化","低转化"))</f>
        <v/>
      </c>
      <c r="N182" s="48">
        <f>IF(OR($L182="",$M182=""),"",$L182&amp;$M182)</f>
        <v/>
      </c>
      <c r="O182" s="6">
        <f>IF($N182="","",IF($N182="高流量高转化","主推：加库存/上活动/扩达人/试投流",IF($N182="高流量低转化","查转化：价格/运费/优惠券/主图/详情/评价/客服",IF($N182="低流量高转化","加曝光：达人/短视频/直播/商城活动+秒杀",IF($N182="低流量低转化","下架或改图改标题重测/放弃","")))))</f>
        <v/>
      </c>
      <c r="P182" s="6">
        <f>IF($K182="","",IF($K182&gt;'参数配置'!$B$16,"⚠️退款率偏高·查质量/尺码/物流",""))</f>
        <v/>
      </c>
    </row>
    <row r="183">
      <c r="A183" s="52" t="n"/>
      <c r="B183" s="46">
        <f>IFERROR(VLOOKUP($A183,'SKU主表'!$A:$M,2,0),"")</f>
        <v/>
      </c>
      <c r="C183" s="61" t="n"/>
      <c r="D183" s="61" t="n"/>
      <c r="E183" s="61" t="n"/>
      <c r="F183" s="61" t="n"/>
      <c r="G183" s="61" t="n"/>
      <c r="H183" s="57">
        <f>IFERROR($D183/$C183,"")</f>
        <v/>
      </c>
      <c r="I183" s="57">
        <f>IFERROR($E183/$D183,"")</f>
        <v/>
      </c>
      <c r="J183" s="57">
        <f>IFERROR($F183/$E183,"")</f>
        <v/>
      </c>
      <c r="K183" s="57">
        <f>IFERROR($G183/$F183,"")</f>
        <v/>
      </c>
      <c r="L183" s="40">
        <f>IF($C183="","",IF($C183&gt;='参数配置'!$B$14,"高流量","低流量"))</f>
        <v/>
      </c>
      <c r="M183" s="40">
        <f>IF($J183="","",IF($J183&gt;='参数配置'!$B$15,"高转化","低转化"))</f>
        <v/>
      </c>
      <c r="N183" s="48">
        <f>IF(OR($L183="",$M183=""),"",$L183&amp;$M183)</f>
        <v/>
      </c>
      <c r="O183" s="6">
        <f>IF($N183="","",IF($N183="高流量高转化","主推：加库存/上活动/扩达人/试投流",IF($N183="高流量低转化","查转化：价格/运费/优惠券/主图/详情/评价/客服",IF($N183="低流量高转化","加曝光：达人/短视频/直播/商城活动+秒杀",IF($N183="低流量低转化","下架或改图改标题重测/放弃","")))))</f>
        <v/>
      </c>
      <c r="P183" s="6">
        <f>IF($K183="","",IF($K183&gt;'参数配置'!$B$16,"⚠️退款率偏高·查质量/尺码/物流",""))</f>
        <v/>
      </c>
    </row>
    <row r="184">
      <c r="A184" s="52" t="n"/>
      <c r="B184" s="46">
        <f>IFERROR(VLOOKUP($A184,'SKU主表'!$A:$M,2,0),"")</f>
        <v/>
      </c>
      <c r="C184" s="61" t="n"/>
      <c r="D184" s="61" t="n"/>
      <c r="E184" s="61" t="n"/>
      <c r="F184" s="61" t="n"/>
      <c r="G184" s="61" t="n"/>
      <c r="H184" s="57">
        <f>IFERROR($D184/$C184,"")</f>
        <v/>
      </c>
      <c r="I184" s="57">
        <f>IFERROR($E184/$D184,"")</f>
        <v/>
      </c>
      <c r="J184" s="57">
        <f>IFERROR($F184/$E184,"")</f>
        <v/>
      </c>
      <c r="K184" s="57">
        <f>IFERROR($G184/$F184,"")</f>
        <v/>
      </c>
      <c r="L184" s="40">
        <f>IF($C184="","",IF($C184&gt;='参数配置'!$B$14,"高流量","低流量"))</f>
        <v/>
      </c>
      <c r="M184" s="40">
        <f>IF($J184="","",IF($J184&gt;='参数配置'!$B$15,"高转化","低转化"))</f>
        <v/>
      </c>
      <c r="N184" s="48">
        <f>IF(OR($L184="",$M184=""),"",$L184&amp;$M184)</f>
        <v/>
      </c>
      <c r="O184" s="6">
        <f>IF($N184="","",IF($N184="高流量高转化","主推：加库存/上活动/扩达人/试投流",IF($N184="高流量低转化","查转化：价格/运费/优惠券/主图/详情/评价/客服",IF($N184="低流量高转化","加曝光：达人/短视频/直播/商城活动+秒杀",IF($N184="低流量低转化","下架或改图改标题重测/放弃","")))))</f>
        <v/>
      </c>
      <c r="P184" s="6">
        <f>IF($K184="","",IF($K184&gt;'参数配置'!$B$16,"⚠️退款率偏高·查质量/尺码/物流",""))</f>
        <v/>
      </c>
    </row>
    <row r="185">
      <c r="A185" s="52" t="n"/>
      <c r="B185" s="46">
        <f>IFERROR(VLOOKUP($A185,'SKU主表'!$A:$M,2,0),"")</f>
        <v/>
      </c>
      <c r="C185" s="61" t="n"/>
      <c r="D185" s="61" t="n"/>
      <c r="E185" s="61" t="n"/>
      <c r="F185" s="61" t="n"/>
      <c r="G185" s="61" t="n"/>
      <c r="H185" s="57">
        <f>IFERROR($D185/$C185,"")</f>
        <v/>
      </c>
      <c r="I185" s="57">
        <f>IFERROR($E185/$D185,"")</f>
        <v/>
      </c>
      <c r="J185" s="57">
        <f>IFERROR($F185/$E185,"")</f>
        <v/>
      </c>
      <c r="K185" s="57">
        <f>IFERROR($G185/$F185,"")</f>
        <v/>
      </c>
      <c r="L185" s="40">
        <f>IF($C185="","",IF($C185&gt;='参数配置'!$B$14,"高流量","低流量"))</f>
        <v/>
      </c>
      <c r="M185" s="40">
        <f>IF($J185="","",IF($J185&gt;='参数配置'!$B$15,"高转化","低转化"))</f>
        <v/>
      </c>
      <c r="N185" s="48">
        <f>IF(OR($L185="",$M185=""),"",$L185&amp;$M185)</f>
        <v/>
      </c>
      <c r="O185" s="6">
        <f>IF($N185="","",IF($N185="高流量高转化","主推：加库存/上活动/扩达人/试投流",IF($N185="高流量低转化","查转化：价格/运费/优惠券/主图/详情/评价/客服",IF($N185="低流量高转化","加曝光：达人/短视频/直播/商城活动+秒杀",IF($N185="低流量低转化","下架或改图改标题重测/放弃","")))))</f>
        <v/>
      </c>
      <c r="P185" s="6">
        <f>IF($K185="","",IF($K185&gt;'参数配置'!$B$16,"⚠️退款率偏高·查质量/尺码/物流",""))</f>
        <v/>
      </c>
    </row>
    <row r="186">
      <c r="A186" s="52" t="n"/>
      <c r="B186" s="46">
        <f>IFERROR(VLOOKUP($A186,'SKU主表'!$A:$M,2,0),"")</f>
        <v/>
      </c>
      <c r="C186" s="61" t="n"/>
      <c r="D186" s="61" t="n"/>
      <c r="E186" s="61" t="n"/>
      <c r="F186" s="61" t="n"/>
      <c r="G186" s="61" t="n"/>
      <c r="H186" s="57">
        <f>IFERROR($D186/$C186,"")</f>
        <v/>
      </c>
      <c r="I186" s="57">
        <f>IFERROR($E186/$D186,"")</f>
        <v/>
      </c>
      <c r="J186" s="57">
        <f>IFERROR($F186/$E186,"")</f>
        <v/>
      </c>
      <c r="K186" s="57">
        <f>IFERROR($G186/$F186,"")</f>
        <v/>
      </c>
      <c r="L186" s="40">
        <f>IF($C186="","",IF($C186&gt;='参数配置'!$B$14,"高流量","低流量"))</f>
        <v/>
      </c>
      <c r="M186" s="40">
        <f>IF($J186="","",IF($J186&gt;='参数配置'!$B$15,"高转化","低转化"))</f>
        <v/>
      </c>
      <c r="N186" s="48">
        <f>IF(OR($L186="",$M186=""),"",$L186&amp;$M186)</f>
        <v/>
      </c>
      <c r="O186" s="6">
        <f>IF($N186="","",IF($N186="高流量高转化","主推：加库存/上活动/扩达人/试投流",IF($N186="高流量低转化","查转化：价格/运费/优惠券/主图/详情/评价/客服",IF($N186="低流量高转化","加曝光：达人/短视频/直播/商城活动+秒杀",IF($N186="低流量低转化","下架或改图改标题重测/放弃","")))))</f>
        <v/>
      </c>
      <c r="P186" s="6">
        <f>IF($K186="","",IF($K186&gt;'参数配置'!$B$16,"⚠️退款率偏高·查质量/尺码/物流",""))</f>
        <v/>
      </c>
    </row>
    <row r="187">
      <c r="A187" s="52" t="n"/>
      <c r="B187" s="46">
        <f>IFERROR(VLOOKUP($A187,'SKU主表'!$A:$M,2,0),"")</f>
        <v/>
      </c>
      <c r="C187" s="61" t="n"/>
      <c r="D187" s="61" t="n"/>
      <c r="E187" s="61" t="n"/>
      <c r="F187" s="61" t="n"/>
      <c r="G187" s="61" t="n"/>
      <c r="H187" s="57">
        <f>IFERROR($D187/$C187,"")</f>
        <v/>
      </c>
      <c r="I187" s="57">
        <f>IFERROR($E187/$D187,"")</f>
        <v/>
      </c>
      <c r="J187" s="57">
        <f>IFERROR($F187/$E187,"")</f>
        <v/>
      </c>
      <c r="K187" s="57">
        <f>IFERROR($G187/$F187,"")</f>
        <v/>
      </c>
      <c r="L187" s="40">
        <f>IF($C187="","",IF($C187&gt;='参数配置'!$B$14,"高流量","低流量"))</f>
        <v/>
      </c>
      <c r="M187" s="40">
        <f>IF($J187="","",IF($J187&gt;='参数配置'!$B$15,"高转化","低转化"))</f>
        <v/>
      </c>
      <c r="N187" s="48">
        <f>IF(OR($L187="",$M187=""),"",$L187&amp;$M187)</f>
        <v/>
      </c>
      <c r="O187" s="6">
        <f>IF($N187="","",IF($N187="高流量高转化","主推：加库存/上活动/扩达人/试投流",IF($N187="高流量低转化","查转化：价格/运费/优惠券/主图/详情/评价/客服",IF($N187="低流量高转化","加曝光：达人/短视频/直播/商城活动+秒杀",IF($N187="低流量低转化","下架或改图改标题重测/放弃","")))))</f>
        <v/>
      </c>
      <c r="P187" s="6">
        <f>IF($K187="","",IF($K187&gt;'参数配置'!$B$16,"⚠️退款率偏高·查质量/尺码/物流",""))</f>
        <v/>
      </c>
    </row>
    <row r="188">
      <c r="A188" s="52" t="n"/>
      <c r="B188" s="46">
        <f>IFERROR(VLOOKUP($A188,'SKU主表'!$A:$M,2,0),"")</f>
        <v/>
      </c>
      <c r="C188" s="61" t="n"/>
      <c r="D188" s="61" t="n"/>
      <c r="E188" s="61" t="n"/>
      <c r="F188" s="61" t="n"/>
      <c r="G188" s="61" t="n"/>
      <c r="H188" s="57">
        <f>IFERROR($D188/$C188,"")</f>
        <v/>
      </c>
      <c r="I188" s="57">
        <f>IFERROR($E188/$D188,"")</f>
        <v/>
      </c>
      <c r="J188" s="57">
        <f>IFERROR($F188/$E188,"")</f>
        <v/>
      </c>
      <c r="K188" s="57">
        <f>IFERROR($G188/$F188,"")</f>
        <v/>
      </c>
      <c r="L188" s="40">
        <f>IF($C188="","",IF($C188&gt;='参数配置'!$B$14,"高流量","低流量"))</f>
        <v/>
      </c>
      <c r="M188" s="40">
        <f>IF($J188="","",IF($J188&gt;='参数配置'!$B$15,"高转化","低转化"))</f>
        <v/>
      </c>
      <c r="N188" s="48">
        <f>IF(OR($L188="",$M188=""),"",$L188&amp;$M188)</f>
        <v/>
      </c>
      <c r="O188" s="6">
        <f>IF($N188="","",IF($N188="高流量高转化","主推：加库存/上活动/扩达人/试投流",IF($N188="高流量低转化","查转化：价格/运费/优惠券/主图/详情/评价/客服",IF($N188="低流量高转化","加曝光：达人/短视频/直播/商城活动+秒杀",IF($N188="低流量低转化","下架或改图改标题重测/放弃","")))))</f>
        <v/>
      </c>
      <c r="P188" s="6">
        <f>IF($K188="","",IF($K188&gt;'参数配置'!$B$16,"⚠️退款率偏高·查质量/尺码/物流",""))</f>
        <v/>
      </c>
    </row>
    <row r="189">
      <c r="A189" s="52" t="n"/>
      <c r="B189" s="46">
        <f>IFERROR(VLOOKUP($A189,'SKU主表'!$A:$M,2,0),"")</f>
        <v/>
      </c>
      <c r="C189" s="61" t="n"/>
      <c r="D189" s="61" t="n"/>
      <c r="E189" s="61" t="n"/>
      <c r="F189" s="61" t="n"/>
      <c r="G189" s="61" t="n"/>
      <c r="H189" s="57">
        <f>IFERROR($D189/$C189,"")</f>
        <v/>
      </c>
      <c r="I189" s="57">
        <f>IFERROR($E189/$D189,"")</f>
        <v/>
      </c>
      <c r="J189" s="57">
        <f>IFERROR($F189/$E189,"")</f>
        <v/>
      </c>
      <c r="K189" s="57">
        <f>IFERROR($G189/$F189,"")</f>
        <v/>
      </c>
      <c r="L189" s="40">
        <f>IF($C189="","",IF($C189&gt;='参数配置'!$B$14,"高流量","低流量"))</f>
        <v/>
      </c>
      <c r="M189" s="40">
        <f>IF($J189="","",IF($J189&gt;='参数配置'!$B$15,"高转化","低转化"))</f>
        <v/>
      </c>
      <c r="N189" s="48">
        <f>IF(OR($L189="",$M189=""),"",$L189&amp;$M189)</f>
        <v/>
      </c>
      <c r="O189" s="6">
        <f>IF($N189="","",IF($N189="高流量高转化","主推：加库存/上活动/扩达人/试投流",IF($N189="高流量低转化","查转化：价格/运费/优惠券/主图/详情/评价/客服",IF($N189="低流量高转化","加曝光：达人/短视频/直播/商城活动+秒杀",IF($N189="低流量低转化","下架或改图改标题重测/放弃","")))))</f>
        <v/>
      </c>
      <c r="P189" s="6">
        <f>IF($K189="","",IF($K189&gt;'参数配置'!$B$16,"⚠️退款率偏高·查质量/尺码/物流",""))</f>
        <v/>
      </c>
    </row>
    <row r="190">
      <c r="A190" s="52" t="n"/>
      <c r="B190" s="46">
        <f>IFERROR(VLOOKUP($A190,'SKU主表'!$A:$M,2,0),"")</f>
        <v/>
      </c>
      <c r="C190" s="61" t="n"/>
      <c r="D190" s="61" t="n"/>
      <c r="E190" s="61" t="n"/>
      <c r="F190" s="61" t="n"/>
      <c r="G190" s="61" t="n"/>
      <c r="H190" s="57">
        <f>IFERROR($D190/$C190,"")</f>
        <v/>
      </c>
      <c r="I190" s="57">
        <f>IFERROR($E190/$D190,"")</f>
        <v/>
      </c>
      <c r="J190" s="57">
        <f>IFERROR($F190/$E190,"")</f>
        <v/>
      </c>
      <c r="K190" s="57">
        <f>IFERROR($G190/$F190,"")</f>
        <v/>
      </c>
      <c r="L190" s="40">
        <f>IF($C190="","",IF($C190&gt;='参数配置'!$B$14,"高流量","低流量"))</f>
        <v/>
      </c>
      <c r="M190" s="40">
        <f>IF($J190="","",IF($J190&gt;='参数配置'!$B$15,"高转化","低转化"))</f>
        <v/>
      </c>
      <c r="N190" s="48">
        <f>IF(OR($L190="",$M190=""),"",$L190&amp;$M190)</f>
        <v/>
      </c>
      <c r="O190" s="6">
        <f>IF($N190="","",IF($N190="高流量高转化","主推：加库存/上活动/扩达人/试投流",IF($N190="高流量低转化","查转化：价格/运费/优惠券/主图/详情/评价/客服",IF($N190="低流量高转化","加曝光：达人/短视频/直播/商城活动+秒杀",IF($N190="低流量低转化","下架或改图改标题重测/放弃","")))))</f>
        <v/>
      </c>
      <c r="P190" s="6">
        <f>IF($K190="","",IF($K190&gt;'参数配置'!$B$16,"⚠️退款率偏高·查质量/尺码/物流",""))</f>
        <v/>
      </c>
    </row>
    <row r="191">
      <c r="A191" s="52" t="n"/>
      <c r="B191" s="46">
        <f>IFERROR(VLOOKUP($A191,'SKU主表'!$A:$M,2,0),"")</f>
        <v/>
      </c>
      <c r="C191" s="61" t="n"/>
      <c r="D191" s="61" t="n"/>
      <c r="E191" s="61" t="n"/>
      <c r="F191" s="61" t="n"/>
      <c r="G191" s="61" t="n"/>
      <c r="H191" s="57">
        <f>IFERROR($D191/$C191,"")</f>
        <v/>
      </c>
      <c r="I191" s="57">
        <f>IFERROR($E191/$D191,"")</f>
        <v/>
      </c>
      <c r="J191" s="57">
        <f>IFERROR($F191/$E191,"")</f>
        <v/>
      </c>
      <c r="K191" s="57">
        <f>IFERROR($G191/$F191,"")</f>
        <v/>
      </c>
      <c r="L191" s="40">
        <f>IF($C191="","",IF($C191&gt;='参数配置'!$B$14,"高流量","低流量"))</f>
        <v/>
      </c>
      <c r="M191" s="40">
        <f>IF($J191="","",IF($J191&gt;='参数配置'!$B$15,"高转化","低转化"))</f>
        <v/>
      </c>
      <c r="N191" s="48">
        <f>IF(OR($L191="",$M191=""),"",$L191&amp;$M191)</f>
        <v/>
      </c>
      <c r="O191" s="6">
        <f>IF($N191="","",IF($N191="高流量高转化","主推：加库存/上活动/扩达人/试投流",IF($N191="高流量低转化","查转化：价格/运费/优惠券/主图/详情/评价/客服",IF($N191="低流量高转化","加曝光：达人/短视频/直播/商城活动+秒杀",IF($N191="低流量低转化","下架或改图改标题重测/放弃","")))))</f>
        <v/>
      </c>
      <c r="P191" s="6">
        <f>IF($K191="","",IF($K191&gt;'参数配置'!$B$16,"⚠️退款率偏高·查质量/尺码/物流",""))</f>
        <v/>
      </c>
    </row>
    <row r="192">
      <c r="A192" s="52" t="n"/>
      <c r="B192" s="46">
        <f>IFERROR(VLOOKUP($A192,'SKU主表'!$A:$M,2,0),"")</f>
        <v/>
      </c>
      <c r="C192" s="61" t="n"/>
      <c r="D192" s="61" t="n"/>
      <c r="E192" s="61" t="n"/>
      <c r="F192" s="61" t="n"/>
      <c r="G192" s="61" t="n"/>
      <c r="H192" s="57">
        <f>IFERROR($D192/$C192,"")</f>
        <v/>
      </c>
      <c r="I192" s="57">
        <f>IFERROR($E192/$D192,"")</f>
        <v/>
      </c>
      <c r="J192" s="57">
        <f>IFERROR($F192/$E192,"")</f>
        <v/>
      </c>
      <c r="K192" s="57">
        <f>IFERROR($G192/$F192,"")</f>
        <v/>
      </c>
      <c r="L192" s="40">
        <f>IF($C192="","",IF($C192&gt;='参数配置'!$B$14,"高流量","低流量"))</f>
        <v/>
      </c>
      <c r="M192" s="40">
        <f>IF($J192="","",IF($J192&gt;='参数配置'!$B$15,"高转化","低转化"))</f>
        <v/>
      </c>
      <c r="N192" s="48">
        <f>IF(OR($L192="",$M192=""),"",$L192&amp;$M192)</f>
        <v/>
      </c>
      <c r="O192" s="6">
        <f>IF($N192="","",IF($N192="高流量高转化","主推：加库存/上活动/扩达人/试投流",IF($N192="高流量低转化","查转化：价格/运费/优惠券/主图/详情/评价/客服",IF($N192="低流量高转化","加曝光：达人/短视频/直播/商城活动+秒杀",IF($N192="低流量低转化","下架或改图改标题重测/放弃","")))))</f>
        <v/>
      </c>
      <c r="P192" s="6">
        <f>IF($K192="","",IF($K192&gt;'参数配置'!$B$16,"⚠️退款率偏高·查质量/尺码/物流",""))</f>
        <v/>
      </c>
    </row>
    <row r="193">
      <c r="A193" s="52" t="n"/>
      <c r="B193" s="46">
        <f>IFERROR(VLOOKUP($A193,'SKU主表'!$A:$M,2,0),"")</f>
        <v/>
      </c>
      <c r="C193" s="61" t="n"/>
      <c r="D193" s="61" t="n"/>
      <c r="E193" s="61" t="n"/>
      <c r="F193" s="61" t="n"/>
      <c r="G193" s="61" t="n"/>
      <c r="H193" s="57">
        <f>IFERROR($D193/$C193,"")</f>
        <v/>
      </c>
      <c r="I193" s="57">
        <f>IFERROR($E193/$D193,"")</f>
        <v/>
      </c>
      <c r="J193" s="57">
        <f>IFERROR($F193/$E193,"")</f>
        <v/>
      </c>
      <c r="K193" s="57">
        <f>IFERROR($G193/$F193,"")</f>
        <v/>
      </c>
      <c r="L193" s="40">
        <f>IF($C193="","",IF($C193&gt;='参数配置'!$B$14,"高流量","低流量"))</f>
        <v/>
      </c>
      <c r="M193" s="40">
        <f>IF($J193="","",IF($J193&gt;='参数配置'!$B$15,"高转化","低转化"))</f>
        <v/>
      </c>
      <c r="N193" s="48">
        <f>IF(OR($L193="",$M193=""),"",$L193&amp;$M193)</f>
        <v/>
      </c>
      <c r="O193" s="6">
        <f>IF($N193="","",IF($N193="高流量高转化","主推：加库存/上活动/扩达人/试投流",IF($N193="高流量低转化","查转化：价格/运费/优惠券/主图/详情/评价/客服",IF($N193="低流量高转化","加曝光：达人/短视频/直播/商城活动+秒杀",IF($N193="低流量低转化","下架或改图改标题重测/放弃","")))))</f>
        <v/>
      </c>
      <c r="P193" s="6">
        <f>IF($K193="","",IF($K193&gt;'参数配置'!$B$16,"⚠️退款率偏高·查质量/尺码/物流",""))</f>
        <v/>
      </c>
    </row>
    <row r="194">
      <c r="A194" s="52" t="n"/>
      <c r="B194" s="46">
        <f>IFERROR(VLOOKUP($A194,'SKU主表'!$A:$M,2,0),"")</f>
        <v/>
      </c>
      <c r="C194" s="61" t="n"/>
      <c r="D194" s="61" t="n"/>
      <c r="E194" s="61" t="n"/>
      <c r="F194" s="61" t="n"/>
      <c r="G194" s="61" t="n"/>
      <c r="H194" s="57">
        <f>IFERROR($D194/$C194,"")</f>
        <v/>
      </c>
      <c r="I194" s="57">
        <f>IFERROR($E194/$D194,"")</f>
        <v/>
      </c>
      <c r="J194" s="57">
        <f>IFERROR($F194/$E194,"")</f>
        <v/>
      </c>
      <c r="K194" s="57">
        <f>IFERROR($G194/$F194,"")</f>
        <v/>
      </c>
      <c r="L194" s="40">
        <f>IF($C194="","",IF($C194&gt;='参数配置'!$B$14,"高流量","低流量"))</f>
        <v/>
      </c>
      <c r="M194" s="40">
        <f>IF($J194="","",IF($J194&gt;='参数配置'!$B$15,"高转化","低转化"))</f>
        <v/>
      </c>
      <c r="N194" s="48">
        <f>IF(OR($L194="",$M194=""),"",$L194&amp;$M194)</f>
        <v/>
      </c>
      <c r="O194" s="6">
        <f>IF($N194="","",IF($N194="高流量高转化","主推：加库存/上活动/扩达人/试投流",IF($N194="高流量低转化","查转化：价格/运费/优惠券/主图/详情/评价/客服",IF($N194="低流量高转化","加曝光：达人/短视频/直播/商城活动+秒杀",IF($N194="低流量低转化","下架或改图改标题重测/放弃","")))))</f>
        <v/>
      </c>
      <c r="P194" s="6">
        <f>IF($K194="","",IF($K194&gt;'参数配置'!$B$16,"⚠️退款率偏高·查质量/尺码/物流",""))</f>
        <v/>
      </c>
    </row>
    <row r="195">
      <c r="A195" s="52" t="n"/>
      <c r="B195" s="46">
        <f>IFERROR(VLOOKUP($A195,'SKU主表'!$A:$M,2,0),"")</f>
        <v/>
      </c>
      <c r="C195" s="61" t="n"/>
      <c r="D195" s="61" t="n"/>
      <c r="E195" s="61" t="n"/>
      <c r="F195" s="61" t="n"/>
      <c r="G195" s="61" t="n"/>
      <c r="H195" s="57">
        <f>IFERROR($D195/$C195,"")</f>
        <v/>
      </c>
      <c r="I195" s="57">
        <f>IFERROR($E195/$D195,"")</f>
        <v/>
      </c>
      <c r="J195" s="57">
        <f>IFERROR($F195/$E195,"")</f>
        <v/>
      </c>
      <c r="K195" s="57">
        <f>IFERROR($G195/$F195,"")</f>
        <v/>
      </c>
      <c r="L195" s="40">
        <f>IF($C195="","",IF($C195&gt;='参数配置'!$B$14,"高流量","低流量"))</f>
        <v/>
      </c>
      <c r="M195" s="40">
        <f>IF($J195="","",IF($J195&gt;='参数配置'!$B$15,"高转化","低转化"))</f>
        <v/>
      </c>
      <c r="N195" s="48">
        <f>IF(OR($L195="",$M195=""),"",$L195&amp;$M195)</f>
        <v/>
      </c>
      <c r="O195" s="6">
        <f>IF($N195="","",IF($N195="高流量高转化","主推：加库存/上活动/扩达人/试投流",IF($N195="高流量低转化","查转化：价格/运费/优惠券/主图/详情/评价/客服",IF($N195="低流量高转化","加曝光：达人/短视频/直播/商城活动+秒杀",IF($N195="低流量低转化","下架或改图改标题重测/放弃","")))))</f>
        <v/>
      </c>
      <c r="P195" s="6">
        <f>IF($K195="","",IF($K195&gt;'参数配置'!$B$16,"⚠️退款率偏高·查质量/尺码/物流",""))</f>
        <v/>
      </c>
    </row>
    <row r="196">
      <c r="A196" s="52" t="n"/>
      <c r="B196" s="46">
        <f>IFERROR(VLOOKUP($A196,'SKU主表'!$A:$M,2,0),"")</f>
        <v/>
      </c>
      <c r="C196" s="61" t="n"/>
      <c r="D196" s="61" t="n"/>
      <c r="E196" s="61" t="n"/>
      <c r="F196" s="61" t="n"/>
      <c r="G196" s="61" t="n"/>
      <c r="H196" s="57">
        <f>IFERROR($D196/$C196,"")</f>
        <v/>
      </c>
      <c r="I196" s="57">
        <f>IFERROR($E196/$D196,"")</f>
        <v/>
      </c>
      <c r="J196" s="57">
        <f>IFERROR($F196/$E196,"")</f>
        <v/>
      </c>
      <c r="K196" s="57">
        <f>IFERROR($G196/$F196,"")</f>
        <v/>
      </c>
      <c r="L196" s="40">
        <f>IF($C196="","",IF($C196&gt;='参数配置'!$B$14,"高流量","低流量"))</f>
        <v/>
      </c>
      <c r="M196" s="40">
        <f>IF($J196="","",IF($J196&gt;='参数配置'!$B$15,"高转化","低转化"))</f>
        <v/>
      </c>
      <c r="N196" s="48">
        <f>IF(OR($L196="",$M196=""),"",$L196&amp;$M196)</f>
        <v/>
      </c>
      <c r="O196" s="6">
        <f>IF($N196="","",IF($N196="高流量高转化","主推：加库存/上活动/扩达人/试投流",IF($N196="高流量低转化","查转化：价格/运费/优惠券/主图/详情/评价/客服",IF($N196="低流量高转化","加曝光：达人/短视频/直播/商城活动+秒杀",IF($N196="低流量低转化","下架或改图改标题重测/放弃","")))))</f>
        <v/>
      </c>
      <c r="P196" s="6">
        <f>IF($K196="","",IF($K196&gt;'参数配置'!$B$16,"⚠️退款率偏高·查质量/尺码/物流",""))</f>
        <v/>
      </c>
    </row>
    <row r="197">
      <c r="A197" s="52" t="n"/>
      <c r="B197" s="46">
        <f>IFERROR(VLOOKUP($A197,'SKU主表'!$A:$M,2,0),"")</f>
        <v/>
      </c>
      <c r="C197" s="61" t="n"/>
      <c r="D197" s="61" t="n"/>
      <c r="E197" s="61" t="n"/>
      <c r="F197" s="61" t="n"/>
      <c r="G197" s="61" t="n"/>
      <c r="H197" s="57">
        <f>IFERROR($D197/$C197,"")</f>
        <v/>
      </c>
      <c r="I197" s="57">
        <f>IFERROR($E197/$D197,"")</f>
        <v/>
      </c>
      <c r="J197" s="57">
        <f>IFERROR($F197/$E197,"")</f>
        <v/>
      </c>
      <c r="K197" s="57">
        <f>IFERROR($G197/$F197,"")</f>
        <v/>
      </c>
      <c r="L197" s="40">
        <f>IF($C197="","",IF($C197&gt;='参数配置'!$B$14,"高流量","低流量"))</f>
        <v/>
      </c>
      <c r="M197" s="40">
        <f>IF($J197="","",IF($J197&gt;='参数配置'!$B$15,"高转化","低转化"))</f>
        <v/>
      </c>
      <c r="N197" s="48">
        <f>IF(OR($L197="",$M197=""),"",$L197&amp;$M197)</f>
        <v/>
      </c>
      <c r="O197" s="6">
        <f>IF($N197="","",IF($N197="高流量高转化","主推：加库存/上活动/扩达人/试投流",IF($N197="高流量低转化","查转化：价格/运费/优惠券/主图/详情/评价/客服",IF($N197="低流量高转化","加曝光：达人/短视频/直播/商城活动+秒杀",IF($N197="低流量低转化","下架或改图改标题重测/放弃","")))))</f>
        <v/>
      </c>
      <c r="P197" s="6">
        <f>IF($K197="","",IF($K197&gt;'参数配置'!$B$16,"⚠️退款率偏高·查质量/尺码/物流",""))</f>
        <v/>
      </c>
    </row>
    <row r="198">
      <c r="A198" s="52" t="n"/>
      <c r="B198" s="46">
        <f>IFERROR(VLOOKUP($A198,'SKU主表'!$A:$M,2,0),"")</f>
        <v/>
      </c>
      <c r="C198" s="61" t="n"/>
      <c r="D198" s="61" t="n"/>
      <c r="E198" s="61" t="n"/>
      <c r="F198" s="61" t="n"/>
      <c r="G198" s="61" t="n"/>
      <c r="H198" s="57">
        <f>IFERROR($D198/$C198,"")</f>
        <v/>
      </c>
      <c r="I198" s="57">
        <f>IFERROR($E198/$D198,"")</f>
        <v/>
      </c>
      <c r="J198" s="57">
        <f>IFERROR($F198/$E198,"")</f>
        <v/>
      </c>
      <c r="K198" s="57">
        <f>IFERROR($G198/$F198,"")</f>
        <v/>
      </c>
      <c r="L198" s="40">
        <f>IF($C198="","",IF($C198&gt;='参数配置'!$B$14,"高流量","低流量"))</f>
        <v/>
      </c>
      <c r="M198" s="40">
        <f>IF($J198="","",IF($J198&gt;='参数配置'!$B$15,"高转化","低转化"))</f>
        <v/>
      </c>
      <c r="N198" s="48">
        <f>IF(OR($L198="",$M198=""),"",$L198&amp;$M198)</f>
        <v/>
      </c>
      <c r="O198" s="6">
        <f>IF($N198="","",IF($N198="高流量高转化","主推：加库存/上活动/扩达人/试投流",IF($N198="高流量低转化","查转化：价格/运费/优惠券/主图/详情/评价/客服",IF($N198="低流量高转化","加曝光：达人/短视频/直播/商城活动+秒杀",IF($N198="低流量低转化","下架或改图改标题重测/放弃","")))))</f>
        <v/>
      </c>
      <c r="P198" s="6">
        <f>IF($K198="","",IF($K198&gt;'参数配置'!$B$16,"⚠️退款率偏高·查质量/尺码/物流",""))</f>
        <v/>
      </c>
    </row>
    <row r="199">
      <c r="A199" s="52" t="n"/>
      <c r="B199" s="46">
        <f>IFERROR(VLOOKUP($A199,'SKU主表'!$A:$M,2,0),"")</f>
        <v/>
      </c>
      <c r="C199" s="61" t="n"/>
      <c r="D199" s="61" t="n"/>
      <c r="E199" s="61" t="n"/>
      <c r="F199" s="61" t="n"/>
      <c r="G199" s="61" t="n"/>
      <c r="H199" s="57">
        <f>IFERROR($D199/$C199,"")</f>
        <v/>
      </c>
      <c r="I199" s="57">
        <f>IFERROR($E199/$D199,"")</f>
        <v/>
      </c>
      <c r="J199" s="57">
        <f>IFERROR($F199/$E199,"")</f>
        <v/>
      </c>
      <c r="K199" s="57">
        <f>IFERROR($G199/$F199,"")</f>
        <v/>
      </c>
      <c r="L199" s="40">
        <f>IF($C199="","",IF($C199&gt;='参数配置'!$B$14,"高流量","低流量"))</f>
        <v/>
      </c>
      <c r="M199" s="40">
        <f>IF($J199="","",IF($J199&gt;='参数配置'!$B$15,"高转化","低转化"))</f>
        <v/>
      </c>
      <c r="N199" s="48">
        <f>IF(OR($L199="",$M199=""),"",$L199&amp;$M199)</f>
        <v/>
      </c>
      <c r="O199" s="6">
        <f>IF($N199="","",IF($N199="高流量高转化","主推：加库存/上活动/扩达人/试投流",IF($N199="高流量低转化","查转化：价格/运费/优惠券/主图/详情/评价/客服",IF($N199="低流量高转化","加曝光：达人/短视频/直播/商城活动+秒杀",IF($N199="低流量低转化","下架或改图改标题重测/放弃","")))))</f>
        <v/>
      </c>
      <c r="P199" s="6">
        <f>IF($K199="","",IF($K199&gt;'参数配置'!$B$16,"⚠️退款率偏高·查质量/尺码/物流",""))</f>
        <v/>
      </c>
    </row>
    <row r="200">
      <c r="A200" s="52" t="n"/>
      <c r="B200" s="46">
        <f>IFERROR(VLOOKUP($A200,'SKU主表'!$A:$M,2,0),"")</f>
        <v/>
      </c>
      <c r="C200" s="61" t="n"/>
      <c r="D200" s="61" t="n"/>
      <c r="E200" s="61" t="n"/>
      <c r="F200" s="61" t="n"/>
      <c r="G200" s="61" t="n"/>
      <c r="H200" s="57">
        <f>IFERROR($D200/$C200,"")</f>
        <v/>
      </c>
      <c r="I200" s="57">
        <f>IFERROR($E200/$D200,"")</f>
        <v/>
      </c>
      <c r="J200" s="57">
        <f>IFERROR($F200/$E200,"")</f>
        <v/>
      </c>
      <c r="K200" s="57">
        <f>IFERROR($G200/$F200,"")</f>
        <v/>
      </c>
      <c r="L200" s="40">
        <f>IF($C200="","",IF($C200&gt;='参数配置'!$B$14,"高流量","低流量"))</f>
        <v/>
      </c>
      <c r="M200" s="40">
        <f>IF($J200="","",IF($J200&gt;='参数配置'!$B$15,"高转化","低转化"))</f>
        <v/>
      </c>
      <c r="N200" s="48">
        <f>IF(OR($L200="",$M200=""),"",$L200&amp;$M200)</f>
        <v/>
      </c>
      <c r="O200" s="6">
        <f>IF($N200="","",IF($N200="高流量高转化","主推：加库存/上活动/扩达人/试投流",IF($N200="高流量低转化","查转化：价格/运费/优惠券/主图/详情/评价/客服",IF($N200="低流量高转化","加曝光：达人/短视频/直播/商城活动+秒杀",IF($N200="低流量低转化","下架或改图改标题重测/放弃","")))))</f>
        <v/>
      </c>
      <c r="P200" s="6">
        <f>IF($K200="","",IF($K200&gt;'参数配置'!$B$16,"⚠️退款率偏高·查质量/尺码/物流",""))</f>
        <v/>
      </c>
    </row>
    <row r="201">
      <c r="A201" s="52" t="n"/>
      <c r="B201" s="46">
        <f>IFERROR(VLOOKUP($A201,'SKU主表'!$A:$M,2,0),"")</f>
        <v/>
      </c>
      <c r="C201" s="61" t="n"/>
      <c r="D201" s="61" t="n"/>
      <c r="E201" s="61" t="n"/>
      <c r="F201" s="61" t="n"/>
      <c r="G201" s="61" t="n"/>
      <c r="H201" s="57">
        <f>IFERROR($D201/$C201,"")</f>
        <v/>
      </c>
      <c r="I201" s="57">
        <f>IFERROR($E201/$D201,"")</f>
        <v/>
      </c>
      <c r="J201" s="57">
        <f>IFERROR($F201/$E201,"")</f>
        <v/>
      </c>
      <c r="K201" s="57">
        <f>IFERROR($G201/$F201,"")</f>
        <v/>
      </c>
      <c r="L201" s="40">
        <f>IF($C201="","",IF($C201&gt;='参数配置'!$B$14,"高流量","低流量"))</f>
        <v/>
      </c>
      <c r="M201" s="40">
        <f>IF($J201="","",IF($J201&gt;='参数配置'!$B$15,"高转化","低转化"))</f>
        <v/>
      </c>
      <c r="N201" s="48">
        <f>IF(OR($L201="",$M201=""),"",$L201&amp;$M201)</f>
        <v/>
      </c>
      <c r="O201" s="6">
        <f>IF($N201="","",IF($N201="高流量高转化","主推：加库存/上活动/扩达人/试投流",IF($N201="高流量低转化","查转化：价格/运费/优惠券/主图/详情/评价/客服",IF($N201="低流量高转化","加曝光：达人/短视频/直播/商城活动+秒杀",IF($N201="低流量低转化","下架或改图改标题重测/放弃","")))))</f>
        <v/>
      </c>
      <c r="P201" s="6">
        <f>IF($K201="","",IF($K201&gt;'参数配置'!$B$16,"⚠️退款率偏高·查质量/尺码/物流",""))</f>
        <v/>
      </c>
    </row>
    <row r="202">
      <c r="A202" s="52" t="n"/>
      <c r="B202" s="46">
        <f>IFERROR(VLOOKUP($A202,'SKU主表'!$A:$M,2,0),"")</f>
        <v/>
      </c>
      <c r="C202" s="61" t="n"/>
      <c r="D202" s="61" t="n"/>
      <c r="E202" s="61" t="n"/>
      <c r="F202" s="61" t="n"/>
      <c r="G202" s="61" t="n"/>
      <c r="H202" s="57">
        <f>IFERROR($D202/$C202,"")</f>
        <v/>
      </c>
      <c r="I202" s="57">
        <f>IFERROR($E202/$D202,"")</f>
        <v/>
      </c>
      <c r="J202" s="57">
        <f>IFERROR($F202/$E202,"")</f>
        <v/>
      </c>
      <c r="K202" s="57">
        <f>IFERROR($G202/$F202,"")</f>
        <v/>
      </c>
      <c r="L202" s="40">
        <f>IF($C202="","",IF($C202&gt;='参数配置'!$B$14,"高流量","低流量"))</f>
        <v/>
      </c>
      <c r="M202" s="40">
        <f>IF($J202="","",IF($J202&gt;='参数配置'!$B$15,"高转化","低转化"))</f>
        <v/>
      </c>
      <c r="N202" s="48">
        <f>IF(OR($L202="",$M202=""),"",$L202&amp;$M202)</f>
        <v/>
      </c>
      <c r="O202" s="6">
        <f>IF($N202="","",IF($N202="高流量高转化","主推：加库存/上活动/扩达人/试投流",IF($N202="高流量低转化","查转化：价格/运费/优惠券/主图/详情/评价/客服",IF($N202="低流量高转化","加曝光：达人/短视频/直播/商城活动+秒杀",IF($N202="低流量低转化","下架或改图改标题重测/放弃","")))))</f>
        <v/>
      </c>
      <c r="P202" s="6">
        <f>IF($K202="","",IF($K202&gt;'参数配置'!$B$16,"⚠️退款率偏高·查质量/尺码/物流",""))</f>
        <v/>
      </c>
    </row>
    <row r="203">
      <c r="A203" s="52" t="n"/>
      <c r="B203" s="46">
        <f>IFERROR(VLOOKUP($A203,'SKU主表'!$A:$M,2,0),"")</f>
        <v/>
      </c>
      <c r="C203" s="61" t="n"/>
      <c r="D203" s="61" t="n"/>
      <c r="E203" s="61" t="n"/>
      <c r="F203" s="61" t="n"/>
      <c r="G203" s="61" t="n"/>
      <c r="H203" s="57">
        <f>IFERROR($D203/$C203,"")</f>
        <v/>
      </c>
      <c r="I203" s="57">
        <f>IFERROR($E203/$D203,"")</f>
        <v/>
      </c>
      <c r="J203" s="57">
        <f>IFERROR($F203/$E203,"")</f>
        <v/>
      </c>
      <c r="K203" s="57">
        <f>IFERROR($G203/$F203,"")</f>
        <v/>
      </c>
      <c r="L203" s="40">
        <f>IF($C203="","",IF($C203&gt;='参数配置'!$B$14,"高流量","低流量"))</f>
        <v/>
      </c>
      <c r="M203" s="40">
        <f>IF($J203="","",IF($J203&gt;='参数配置'!$B$15,"高转化","低转化"))</f>
        <v/>
      </c>
      <c r="N203" s="48">
        <f>IF(OR($L203="",$M203=""),"",$L203&amp;$M203)</f>
        <v/>
      </c>
      <c r="O203" s="6">
        <f>IF($N203="","",IF($N203="高流量高转化","主推：加库存/上活动/扩达人/试投流",IF($N203="高流量低转化","查转化：价格/运费/优惠券/主图/详情/评价/客服",IF($N203="低流量高转化","加曝光：达人/短视频/直播/商城活动+秒杀",IF($N203="低流量低转化","下架或改图改标题重测/放弃","")))))</f>
        <v/>
      </c>
      <c r="P203" s="6">
        <f>IF($K203="","",IF($K203&gt;'参数配置'!$B$16,"⚠️退款率偏高·查质量/尺码/物流",""))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autoFilter ref="A3:P203"/>
  <mergeCells count="2">
    <mergeCell ref="A1:P1"/>
    <mergeCell ref="A2:P2"/>
  </mergeCells>
  <conditionalFormatting sqref="O4:O203">
    <cfRule type="expression" priority="1" dxfId="2" stopIfTrue="1">
      <formula>ISNUMBER(SEARCH("主推",$O4))</formula>
    </cfRule>
    <cfRule type="expression" priority="2" dxfId="0" stopIfTrue="1">
      <formula>ISNUMBER(SEARCH("下架",$O4))</formula>
    </cfRule>
  </conditionalFormatting>
  <conditionalFormatting sqref="P4:P203">
    <cfRule type="expression" priority="3" dxfId="6" stopIfTrue="1">
      <formula>$P4&lt;&gt;""</formula>
    </cfRule>
  </conditionalFormatting>
  <dataValidations count="2">
    <dataValidation sqref="A4:A203" showDropDown="0" showInputMessage="0" showErrorMessage="0" allowBlank="1" errorTitle="编号" error="请从 SKU主表 已有编号中选择" type="list">
      <formula1>编号清单</formula1>
    </dataValidation>
    <dataValidation sqref="C4:G203" showDropDown="0" showInputMessage="0" showErrorMessage="0" allowBlank="1" errorTitle="非负校验" error="请输入 ≥0 的整数" type="whole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78" customWidth="1" min="4" max="4"/>
    <col width="30" customWidth="1" min="5" max="5"/>
  </cols>
  <sheetData>
    <row r="1" ht="26" customHeight="1">
      <c r="A1" s="1" t="inlineStr">
        <is>
          <t>达人邀约话术库 · 马来西亚（联系渠道优先 WhatsApp）</t>
        </is>
      </c>
    </row>
    <row r="2" ht="34" customHeight="1">
      <c r="A2" s="2" t="inlineStr">
        <is>
          <t>用法：复制话术 → 替换 [占位符] → 本地化润色后发送。占位符：[达人昵称]=creator｜[视频内容]=对方视频主题｜[品类]/[卖点]=你的货｜[X]%=佣金｜[物流单号][视频链接][金额][新品][脚本链接][店铺名][你的名字]。原则：简短·emoji点缀·提对方具体视频·讲清利益点·尊重意愿·多版本A/B测试。佣金率示例 5%(视频)/8–15%(主推直播)，均为示例，签约前以谈判与后台为准。本表未锁定，可自由增改。</t>
        </is>
      </c>
    </row>
    <row r="3" ht="20" customHeight="1">
      <c r="A3" s="26" t="inlineStr">
        <is>
          <t>场景</t>
        </is>
      </c>
      <c r="B3" s="26" t="inlineStr">
        <is>
          <t>渠道</t>
        </is>
      </c>
      <c r="C3" s="26" t="inlineStr">
        <is>
          <t>语言</t>
        </is>
      </c>
      <c r="D3" s="26" t="inlineStr">
        <is>
          <t>话术（含 [占位符]）</t>
        </is>
      </c>
      <c r="E3" s="26" t="inlineStr">
        <is>
          <t>备注</t>
        </is>
      </c>
    </row>
    <row r="4" ht="34" customHeight="1">
      <c r="A4" s="5" t="inlineStr">
        <is>
          <t>破冰·官方参考</t>
        </is>
      </c>
      <c r="B4" s="6" t="inlineStr">
        <is>
          <t>WhatsApp</t>
        </is>
      </c>
      <c r="C4" s="6" t="inlineStr">
        <is>
          <t>English</t>
        </is>
      </c>
      <c r="D4" s="6" t="inlineStr">
        <is>
          <t>Hi [达人昵称]! Love your video about [视频内容]! Our new store has similar [品类] that would look perfect on you. Would you be open to a free sample? 😊</t>
        </is>
      </c>
      <c r="E4" s="6" t="inlineStr">
        <is>
          <t>官方参考破冰；务必提到对方具体视频，避免群发被识破。</t>
        </is>
      </c>
    </row>
    <row r="5" ht="49" customHeight="1">
      <c r="A5" s="27" t="inlineStr">
        <is>
          <t>破冰·官方参考</t>
        </is>
      </c>
      <c r="B5" s="6" t="inlineStr">
        <is>
          <t>WhatsApp</t>
        </is>
      </c>
      <c r="C5" s="6" t="inlineStr">
        <is>
          <t>Bahasa Melayu</t>
        </is>
      </c>
      <c r="D5" s="62" t="inlineStr">
        <is>
          <t>Hai [达人昵称]! Saya suka sangat video anda tentang [视频内容]! 😊 Kedai baharu kami ada [品类] yang serupa — confirm sesuai dengan anda. Berminat untuk terima sampel percuma?</t>
        </is>
      </c>
      <c r="E5" s="6" t="inlineStr"/>
    </row>
    <row r="6" ht="64" customHeight="1">
      <c r="A6" s="5" t="inlineStr">
        <is>
          <t>首次邀约·有礼版</t>
        </is>
      </c>
      <c r="B6" s="6" t="inlineStr">
        <is>
          <t>WhatsApp</t>
        </is>
      </c>
      <c r="C6" s="6" t="inlineStr">
        <is>
          <t>English</t>
        </is>
      </c>
      <c r="D6" s="6" t="inlineStr">
        <is>
          <t>Hi, I'm [你的名字] from [店铺名]. We love your videos and would like to invite you to promote our products. If you're interested, please let me know. We'd like to offer you commission + product video materials. Look forward to hearing from you! 😊</t>
        </is>
      </c>
      <c r="E6" s="6" t="inlineStr">
        <is>
          <t>出自《达人合作邀请文案参考》马来部分，语气有礼，适合品牌店。</t>
        </is>
      </c>
    </row>
    <row r="7" ht="64" customHeight="1">
      <c r="A7" s="27" t="inlineStr">
        <is>
          <t>首次邀约·有礼版</t>
        </is>
      </c>
      <c r="B7" s="6" t="inlineStr">
        <is>
          <t>WhatsApp</t>
        </is>
      </c>
      <c r="C7" s="6" t="inlineStr">
        <is>
          <t>Bahasa Melayu</t>
        </is>
      </c>
      <c r="D7" s="62" t="inlineStr">
        <is>
          <t>Hai, saya [你的名字] dari kedai [店铺名]. Kami sangat menyukai video anda dan ingin menjemput anda untuk mempromosikan produk kami. Jika anda berminat, sila beritahu saya. Kami ingin menawarkan anda komisen + bahan kandungan video produk. Berharap untuk mendengar daripada anda! 😊</t>
        </is>
      </c>
      <c r="E7" s="6" t="inlineStr">
        <is>
          <t>原文马来语版（直接可用）。</t>
        </is>
      </c>
    </row>
    <row r="8" ht="64" customHeight="1">
      <c r="A8" s="5" t="inlineStr">
        <is>
          <t>定向邀请(带卖点+利益点)</t>
        </is>
      </c>
      <c r="B8" s="6" t="inlineStr">
        <is>
          <t>WhatsApp</t>
        </is>
      </c>
      <c r="C8" s="6" t="inlineStr">
        <is>
          <t>English</t>
        </is>
      </c>
      <c r="D8" s="6" t="inlineStr">
        <is>
          <t>Hi [达人昵称] 🥰 We're [店铺名] and would love you to promote our [品类]. Key selling points: [卖点] — a great match for your followers! We offer [free sample 🎁 / [X]% commission / paid boost on top videos]. Contact us if you're interested — can't wait! 🤩</t>
        </is>
      </c>
      <c r="E8" s="6" t="inlineStr">
        <is>
          <t>掘金宝典定向邀请结构。</t>
        </is>
      </c>
    </row>
    <row r="9" ht="64" customHeight="1">
      <c r="A9" s="27" t="inlineStr">
        <is>
          <t>定向邀请(带卖点+利益点)</t>
        </is>
      </c>
      <c r="B9" s="6" t="inlineStr">
        <is>
          <t>WhatsApp</t>
        </is>
      </c>
      <c r="C9" s="6" t="inlineStr">
        <is>
          <t>Bahasa Melayu</t>
        </is>
      </c>
      <c r="D9" s="62" t="inlineStr">
        <is>
          <t>Hai [达人昵称] 🥰 Kami dari [店铺名], ingin menjemput anda mempromosikan [品类] kami. Kelebihan utama: [卖点] — sangat sepadan dengan peminat anda! Kami sediakan [sampel percuma 🎁 / komisen [X]% / sokongan iklan untuk video terbaik]. Hubungi kami kalau berminat — sangat dinantikan! 🤩</t>
        </is>
      </c>
      <c r="E9" s="6" t="inlineStr"/>
    </row>
    <row r="10" ht="64" customHeight="1">
      <c r="A10" s="5" t="inlineStr">
        <is>
          <t>初次陌生触达·三段式框架</t>
        </is>
      </c>
      <c r="B10" s="6" t="inlineStr">
        <is>
          <t>WhatsApp</t>
        </is>
      </c>
      <c r="C10" s="6" t="inlineStr">
        <is>
          <t>框架/Framework</t>
        </is>
      </c>
      <c r="D10" s="6" t="inlineStr">
        <is>
          <t>① 自我介绍+公司背书（例『我们是马来 TikTok Shop [类目] 卖家，已合作 [X] 位达人』🔥）→ ② 说明来意+提对方具体视频（『你的 [视频] 拿了 [赞数] 赞』）→ ③ 货盘优势+利益点（免费样品🎁 / [X]% 佣金 / 爆款脚本 / 投流 / 长期好货）。</t>
        </is>
      </c>
      <c r="E10" s="6" t="inlineStr">
        <is>
          <t>按此结构本地化成马来语再发。</t>
        </is>
      </c>
    </row>
    <row r="11" ht="49" customHeight="1">
      <c r="A11" s="5" t="inlineStr">
        <is>
          <t>引导多品一次申样</t>
        </is>
      </c>
      <c r="B11" s="6" t="inlineStr">
        <is>
          <t>WhatsApp</t>
        </is>
      </c>
      <c r="C11" s="6" t="inlineStr">
        <is>
          <t>English</t>
        </is>
      </c>
      <c r="D11" s="6" t="inlineStr">
        <is>
          <t>Besides the [已申请商品] you requested, we also have [商品B] and [商品C] that would suit you — [卖点B] / [卖点C] 🤩. Tell me which ones interest you and we can send them together in one parcel to save time &amp; shipping.</t>
        </is>
      </c>
      <c r="E11" s="6" t="inlineStr">
        <is>
          <t>省运费：一次申请多件、一个包裹寄出。</t>
        </is>
      </c>
    </row>
    <row r="12" ht="49" customHeight="1">
      <c r="A12" s="27" t="inlineStr">
        <is>
          <t>引导多品一次申样</t>
        </is>
      </c>
      <c r="B12" s="6" t="inlineStr">
        <is>
          <t>WhatsApp</t>
        </is>
      </c>
      <c r="C12" s="6" t="inlineStr">
        <is>
          <t>Bahasa Melayu</t>
        </is>
      </c>
      <c r="D12" s="62" t="inlineStr">
        <is>
          <t>Selain [已申请商品] yang anda mohon, kami ada [商品B] dan [商品C] yang sesuai juga — [卖点B] / [卖点C] 🤩. Beritahu saya yang mana anda minat, boleh kami hantar sekali dalam satu bungkusan untuk jimat masa &amp; kos penghantaran.</t>
        </is>
      </c>
      <c r="E12" s="6" t="inlineStr"/>
    </row>
    <row r="13" ht="49" customHeight="1">
      <c r="A13" s="5" t="inlineStr">
        <is>
          <t>样品寄出后</t>
        </is>
      </c>
      <c r="B13" s="6" t="inlineStr">
        <is>
          <t>WhatsApp</t>
        </is>
      </c>
      <c r="C13" s="6" t="inlineStr">
        <is>
          <t>English</t>
        </is>
      </c>
      <c r="D13" s="6" t="inlineStr">
        <is>
          <t>Hi [达人昵称], your sample has been shipped 😄 Tracking no.: [物流单号]. Please check it's in good condition before filming, and tell me anytime if there's any issue. Looking forward to working with you! 🥰</t>
        </is>
      </c>
      <c r="E13" s="6" t="inlineStr"/>
    </row>
    <row r="14" ht="49" customHeight="1">
      <c r="A14" s="27" t="inlineStr">
        <is>
          <t>样品寄出后</t>
        </is>
      </c>
      <c r="B14" s="6" t="inlineStr">
        <is>
          <t>WhatsApp</t>
        </is>
      </c>
      <c r="C14" s="6" t="inlineStr">
        <is>
          <t>Bahasa Melayu</t>
        </is>
      </c>
      <c r="D14" s="62" t="inlineStr">
        <is>
          <t>Hai [达人昵称], sampel anda sudah dihantar 😄 No. penjejakan: [物流单号]. Sila periksa keadaannya sebelum merakam, dan beritahu saya bila-bila masa jika ada masalah. Tak sabar nak bekerjasama! 🥰</t>
        </is>
      </c>
      <c r="E14" s="6" t="inlineStr"/>
    </row>
    <row r="15" ht="49" customHeight="1">
      <c r="A15" s="5" t="inlineStr">
        <is>
          <t>样品到货激励</t>
        </is>
      </c>
      <c r="B15" s="6" t="inlineStr">
        <is>
          <t>WhatsApp</t>
        </is>
      </c>
      <c r="C15" s="6" t="inlineStr">
        <is>
          <t>English</t>
        </is>
      </c>
      <c r="D15" s="6" t="inlineStr">
        <is>
          <t>Hi [达人昵称], has the sample arrived? 🎁 Many creators earn [金额] commission from a single [品类] video — you can too! 👍 Here's a top-performing reference video: [视频链接]. When do you think you could post?</t>
        </is>
      </c>
      <c r="E15" s="6" t="inlineStr">
        <is>
          <t>附本地播放量最高的同款视频 + 爆文脚本。</t>
        </is>
      </c>
    </row>
    <row r="16" ht="49" customHeight="1">
      <c r="A16" s="27" t="inlineStr">
        <is>
          <t>样品到货激励</t>
        </is>
      </c>
      <c r="B16" s="6" t="inlineStr">
        <is>
          <t>WhatsApp</t>
        </is>
      </c>
      <c r="C16" s="6" t="inlineStr">
        <is>
          <t>Bahasa Melayu</t>
        </is>
      </c>
      <c r="D16" s="62" t="inlineStr">
        <is>
          <t>Hai [达人昵称], sampel dah sampai? 🎁 Ramai kreator dapat komisen [金额] daripada satu video [品类] sahaja — anda pun boleh! 👍 Ini video rujukan paling laris: [视频链接]. Agak-agak bila boleh post ya?</t>
        </is>
      </c>
      <c r="E16" s="6" t="inlineStr"/>
    </row>
    <row r="17" ht="49" customHeight="1">
      <c r="A17" s="5" t="inlineStr">
        <is>
          <t>催未发文</t>
        </is>
      </c>
      <c r="B17" s="6" t="inlineStr">
        <is>
          <t>WhatsApp</t>
        </is>
      </c>
      <c r="C17" s="6" t="inlineStr">
        <is>
          <t>English</t>
        </is>
      </c>
      <c r="D17" s="6" t="inlineStr">
        <is>
          <t>Hi [达人昵称], the sample arrived a few days ago but I haven't seen the video yet — any concerns? 🙌 When do you expect to post? We have a special [促销/流量扶持/库存紧张] offer right now, let's not miss it!</t>
        </is>
      </c>
      <c r="E17" s="6" t="inlineStr"/>
    </row>
    <row r="18" ht="49" customHeight="1">
      <c r="A18" s="27" t="inlineStr">
        <is>
          <t>催未发文</t>
        </is>
      </c>
      <c r="B18" s="6" t="inlineStr">
        <is>
          <t>WhatsApp</t>
        </is>
      </c>
      <c r="C18" s="6" t="inlineStr">
        <is>
          <t>Bahasa Melayu</t>
        </is>
      </c>
      <c r="D18" s="62" t="inlineStr">
        <is>
          <t>Hai [达人昵称], sampel dah sampai beberapa hari tapi video belum naik lagi — ada apa-apa masalah ke? 🙌 Jangkaan bila boleh post? Kami ada tawaran khas [促销/流量扶持/stok terhad] sekarang, jangan lepaskan peluang ya!</t>
        </is>
      </c>
      <c r="E18" s="6" t="inlineStr"/>
    </row>
    <row r="19" ht="49" customHeight="1">
      <c r="A19" s="5" t="inlineStr">
        <is>
          <t>维护·内容差/没出单</t>
        </is>
      </c>
      <c r="B19" s="6" t="inlineStr">
        <is>
          <t>WhatsApp</t>
        </is>
      </c>
      <c r="C19" s="6" t="inlineStr">
        <is>
          <t>English</t>
        </is>
      </c>
      <c r="D19" s="6" t="inlineStr">
        <is>
          <t>Hi [达人昵称], thanks for the video! 🙏 To get even better results, here's a proven script/example: [脚本链接]. Want to try another take? Happy to support you.</t>
        </is>
      </c>
      <c r="E19" s="6" t="inlineStr">
        <is>
          <t>鼓励提质 + 给爆文脚本参考。</t>
        </is>
      </c>
    </row>
    <row r="20" ht="34" customHeight="1">
      <c r="A20" s="27" t="inlineStr">
        <is>
          <t>维护·内容差/没出单</t>
        </is>
      </c>
      <c r="B20" s="6" t="inlineStr">
        <is>
          <t>WhatsApp</t>
        </is>
      </c>
      <c r="C20" s="6" t="inlineStr">
        <is>
          <t>Bahasa Melayu</t>
        </is>
      </c>
      <c r="D20" s="62" t="inlineStr">
        <is>
          <t>Hai [达人昵称], terima kasih atas video! 🙏 Untuk hasil lebih baik, ini skrip/contoh yang terbukti laris: [脚本链接]. Nak cuba sekali lagi? Saya sedia bantu.</t>
        </is>
      </c>
      <c r="E20" s="6" t="inlineStr"/>
    </row>
    <row r="21" ht="49" customHeight="1">
      <c r="A21" s="5" t="inlineStr">
        <is>
          <t>维护·出单但只发一条</t>
        </is>
      </c>
      <c r="B21" s="6" t="inlineStr">
        <is>
          <t>WhatsApp</t>
        </is>
      </c>
      <c r="C21" s="6" t="inlineStr">
        <is>
          <t>English</t>
        </is>
      </c>
      <c r="D21" s="6" t="inlineStr">
        <is>
          <t>Hi [达人昵称], your video did great! 🔥 Our top creators post [X] videos a week, reach [播放量] views and earn [佣金] — you have the same potential. Shall we line up the next one?</t>
        </is>
      </c>
      <c r="E21" s="6" t="inlineStr">
        <is>
          <t>用 Top 达人数据激励多发。</t>
        </is>
      </c>
    </row>
    <row r="22" ht="49" customHeight="1">
      <c r="A22" s="27" t="inlineStr">
        <is>
          <t>维护·出单但只发一条</t>
        </is>
      </c>
      <c r="B22" s="6" t="inlineStr">
        <is>
          <t>WhatsApp</t>
        </is>
      </c>
      <c r="C22" s="6" t="inlineStr">
        <is>
          <t>Bahasa Melayu</t>
        </is>
      </c>
      <c r="D22" s="62" t="inlineStr">
        <is>
          <t>Hai [达人昵称], video anda memang bagus! 🔥 Kreator terbaik kami post [X] video seminggu, capai [播放量] tontonan dan dapat [佣金] — anda pun ada potensi sama. Jom rancang video seterusnya?</t>
        </is>
      </c>
      <c r="E22" s="6" t="inlineStr"/>
    </row>
    <row r="23" ht="49" customHeight="1">
      <c r="A23" s="5" t="inlineStr">
        <is>
          <t>维护·重点达人(S/A级)</t>
        </is>
      </c>
      <c r="B23" s="6" t="inlineStr">
        <is>
          <t>WhatsApp</t>
        </is>
      </c>
      <c r="C23" s="6" t="inlineStr">
        <is>
          <t>English</t>
        </is>
      </c>
      <c r="D23" s="6" t="inlineStr">
        <is>
          <t>Hi [达人昵称], thanks for the steady great content! 🌟 You're one of our key partners — I'll give you early access to new arrivals and our best commission. New drop coming: [新品]. Want first dibs + samples?</t>
        </is>
      </c>
      <c r="E23" s="6" t="inlineStr">
        <is>
          <t>重点维护：预告上新、特殊节点人工告知、谈更高佣金/买断素材投流。</t>
        </is>
      </c>
    </row>
    <row r="24" ht="49" customHeight="1">
      <c r="A24" s="27" t="inlineStr">
        <is>
          <t>维护·重点达人(S/A级)</t>
        </is>
      </c>
      <c r="B24" s="6" t="inlineStr">
        <is>
          <t>WhatsApp</t>
        </is>
      </c>
      <c r="C24" s="6" t="inlineStr">
        <is>
          <t>Bahasa Melayu</t>
        </is>
      </c>
      <c r="D24" s="62" t="inlineStr">
        <is>
          <t>Hai [达人昵称], terima kasih kerana sentiasa hasilkan kandungan terbaik! 🌟 Anda antara rakan utama kami — saya akan beri akses awal produk baharu dan komisen terbaik. Ada produk baharu: [新品]. Nak jadi yang pertama + sampel?</t>
        </is>
      </c>
      <c r="E24" s="6" t="inlineStr"/>
    </row>
    <row r="25" ht="34" customHeight="1">
      <c r="A25" s="5" t="inlineStr">
        <is>
          <t>⚠️ 风格提示</t>
        </is>
      </c>
      <c r="B25" s="6" t="inlineStr">
        <is>
          <t>—</t>
        </is>
      </c>
      <c r="C25" s="6" t="inlineStr">
        <is>
          <t>说明</t>
        </is>
      </c>
      <c r="D25" s="6" t="inlineStr">
        <is>
          <t>参考库另有 60 条『工厂直发/高佣』话术，营销味重、含直贴微信/+86，仅适合海量陌拜起量，不适合品牌店。优先用以上有礼版并本地化。群发邮件务必 BCC 密送；站内私信对不回复的达人最多触及 5 次，珍惜次数。</t>
        </is>
      </c>
      <c r="E25" s="6" t="inlineStr">
        <is>
          <t>出自《海外小店达人邀约话术》60 条，谨慎使用。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5" customWidth="1" min="3" max="3"/>
    <col width="74" customWidth="1" min="4" max="4"/>
    <col width="34" customWidth="1" min="5" max="5"/>
  </cols>
  <sheetData>
    <row r="1" ht="26" customHeight="1">
      <c r="A1" s="1" t="inlineStr">
        <is>
          <t>客服 FAQ + 自动回复 · 中英(含马来)对照</t>
        </is>
      </c>
    </row>
    <row r="2" ht="34" customHeight="1">
      <c r="A2" s="2" t="inlineStr">
        <is>
          <t>覆盖：欢迎语 / 8 个订单状态自动回复 / 常见问题 / 时效红线（客服+履约）。{大括号}=订单变量(顾客点卡片自动替换)；[方括号]=你按品/店替换。⚠️ 时效/SLA/政策以官方后台当期为准并填核对日期。本表未锁定，可自由增改。</t>
        </is>
      </c>
    </row>
    <row r="3" ht="20" customHeight="1">
      <c r="A3" s="26" t="inlineStr">
        <is>
          <t>分类</t>
        </is>
      </c>
      <c r="B3" s="26" t="inlineStr">
        <is>
          <t>触发 / 订单状态</t>
        </is>
      </c>
      <c r="C3" s="26" t="inlineStr">
        <is>
          <t>语言</t>
        </is>
      </c>
      <c r="D3" s="26" t="inlineStr">
        <is>
          <t>话术 / 规则</t>
        </is>
      </c>
      <c r="E3" s="26" t="inlineStr">
        <is>
          <t>备注</t>
        </is>
      </c>
    </row>
    <row r="4" ht="34" customHeight="1">
      <c r="A4" s="5" t="inlineStr">
        <is>
          <t>欢迎语/问候语</t>
        </is>
      </c>
      <c r="B4" s="6" t="inlineStr">
        <is>
          <t>进店欢迎(模板1)</t>
        </is>
      </c>
      <c r="C4" s="6" t="inlineStr">
        <is>
          <t>English</t>
        </is>
      </c>
      <c r="D4" s="6" t="inlineStr">
        <is>
          <t>Welcome to my shop! I hope you have a great journey here. Please feel free to contact us if you have any questions. 😊</t>
        </is>
      </c>
      <c r="E4" s="6" t="inlineStr">
        <is>
          <t>聊天机器人问候语。</t>
        </is>
      </c>
    </row>
    <row r="5" ht="34" customHeight="1">
      <c r="A5" s="27" t="inlineStr">
        <is>
          <t>欢迎语/问候语</t>
        </is>
      </c>
      <c r="B5" s="6" t="inlineStr">
        <is>
          <t>进店欢迎(模板1)</t>
        </is>
      </c>
      <c r="C5" s="6" t="inlineStr">
        <is>
          <t>Bahasa Melayu</t>
        </is>
      </c>
      <c r="D5" s="62" t="inlineStr">
        <is>
          <t>Selamat datang ke kedai kami! 😊 Semoga anda seronok membeli-belah. Jika ada sebarang pertanyaan, jangan segan untuk menghubungi kami.</t>
        </is>
      </c>
      <c r="E5" s="6" t="inlineStr"/>
    </row>
    <row r="6" ht="26" customHeight="1">
      <c r="A6" s="27" t="inlineStr">
        <is>
          <t>欢迎语/问候语</t>
        </is>
      </c>
      <c r="B6" s="6" t="inlineStr">
        <is>
          <t>聊天问候语</t>
        </is>
      </c>
      <c r="C6" s="6" t="inlineStr">
        <is>
          <t>English</t>
        </is>
      </c>
      <c r="D6" s="6" t="inlineStr">
        <is>
          <t>Thank you for getting in touch. How may I help you today? 😊</t>
        </is>
      </c>
      <c r="E6" s="6" t="inlineStr">
        <is>
          <t>问候语上限示例 600 字符。</t>
        </is>
      </c>
    </row>
    <row r="7" ht="34" customHeight="1">
      <c r="A7" s="27" t="inlineStr">
        <is>
          <t>欢迎语/问候语</t>
        </is>
      </c>
      <c r="B7" s="6" t="inlineStr">
        <is>
          <t>聊天问候语</t>
        </is>
      </c>
      <c r="C7" s="6" t="inlineStr">
        <is>
          <t>Bahasa Melayu</t>
        </is>
      </c>
      <c r="D7" s="62" t="inlineStr">
        <is>
          <t>Terima kasih kerana menghubungi kami. Apa yang boleh saya bantu hari ini? 😊</t>
        </is>
      </c>
      <c r="E7" s="6" t="inlineStr"/>
    </row>
    <row r="8" ht="26" customHeight="1">
      <c r="A8" s="27" t="inlineStr">
        <is>
          <t>欢迎语/问候语</t>
        </is>
      </c>
      <c r="B8" s="6" t="inlineStr">
        <is>
          <t>订单咨询问候</t>
        </is>
      </c>
      <c r="C8" s="6" t="inlineStr">
        <is>
          <t>English</t>
        </is>
      </c>
      <c r="D8" s="6" t="inlineStr">
        <is>
          <t>Thanks for getting in touch! How may I help you with this order? 😊</t>
        </is>
      </c>
      <c r="E8" s="6" t="inlineStr">
        <is>
          <t>订单自动回复问候，上限示例 200 字符。</t>
        </is>
      </c>
    </row>
    <row r="9" ht="34" customHeight="1">
      <c r="A9" s="27" t="inlineStr">
        <is>
          <t>欢迎语/问候语</t>
        </is>
      </c>
      <c r="B9" s="6" t="inlineStr">
        <is>
          <t>订单咨询问候</t>
        </is>
      </c>
      <c r="C9" s="6" t="inlineStr">
        <is>
          <t>Bahasa Melayu</t>
        </is>
      </c>
      <c r="D9" s="62" t="inlineStr">
        <is>
          <t>Terima kasih kerana menghubungi! Apa yang boleh saya bantu tentang pesanan ini? 😊</t>
        </is>
      </c>
      <c r="E9" s="6" t="inlineStr"/>
    </row>
    <row r="10" ht="49" customHeight="1">
      <c r="A10" s="27" t="inlineStr">
        <is>
          <t>欢迎语/问候语</t>
        </is>
      </c>
      <c r="B10" s="6" t="inlineStr">
        <is>
          <t>品牌授权版(模板2·慎用)</t>
        </is>
      </c>
      <c r="C10" s="6" t="inlineStr">
        <is>
          <t>English</t>
        </is>
      </c>
      <c r="D10" s="6" t="inlineStr">
        <is>
          <t>Hi Dear, thanks for visiting my shop. This shop mainly sells [售卖商品]. We have brand authorization from [品牌方]. Wish you a good trip in our shop and please reach out whenever you need help. 😊</t>
        </is>
      </c>
      <c r="E10" s="6" t="inlineStr">
        <is>
          <t>⚠️ 仅在确有品牌授权时使用，否则按山寨处罚。</t>
        </is>
      </c>
    </row>
    <row r="11" ht="34" customHeight="1">
      <c r="A11" s="5" t="inlineStr">
        <is>
          <t>订单状态自动回复</t>
        </is>
      </c>
      <c r="B11" s="6" t="inlineStr">
        <is>
          <t>待支付 Unpaid</t>
        </is>
      </c>
      <c r="C11" s="6" t="inlineStr">
        <is>
          <t>English</t>
        </is>
      </c>
      <c r="D11" s="6" t="inlineStr">
        <is>
          <t>Hi, your order {订单编号} is awaiting payment. Tap here to complete it: {订单详情页链接}. Need help with payment methods? Just ask! 😊</t>
        </is>
      </c>
      <c r="E11" s="6" t="inlineStr">
        <is>
          <t>可插变量{订单编号}+链接。</t>
        </is>
      </c>
    </row>
    <row r="12" ht="49" customHeight="1">
      <c r="A12" s="27" t="inlineStr">
        <is>
          <t>订单状态自动回复</t>
        </is>
      </c>
      <c r="B12" s="6" t="inlineStr">
        <is>
          <t>待支付 Unpaid</t>
        </is>
      </c>
      <c r="C12" s="6" t="inlineStr">
        <is>
          <t>Bahasa Melayu</t>
        </is>
      </c>
      <c r="D12" s="62" t="inlineStr">
        <is>
          <t>Hai, pesanan anda {订单编号} masih menunggu pembayaran. Klik di sini untuk membayar: {订单详情页链接}. Perlukan bantuan tentang kaedah pembayaran? Tanya saja! 😊</t>
        </is>
      </c>
      <c r="E12" s="6" t="inlineStr"/>
    </row>
    <row r="13" ht="49" customHeight="1">
      <c r="A13" s="27" t="inlineStr">
        <is>
          <t>订单状态自动回复</t>
        </is>
      </c>
      <c r="B13" s="6" t="inlineStr">
        <is>
          <t>待发货 To Ship</t>
        </is>
      </c>
      <c r="C13" s="6" t="inlineStr">
        <is>
          <t>English</t>
        </is>
      </c>
      <c r="D13" s="6" t="inlineStr">
        <is>
          <t>Hello, we're preparing your order {订单编号}. We normally ship within 72 hours from our China warehouse, then it takes about [X] days to arrive. Thanks for your patience! 😊</t>
        </is>
      </c>
      <c r="E13" s="6" t="inlineStr">
        <is>
          <t>时效以马来实际物流/官方为准；可嵌 {订单编号} 变量与订单/物流详情页链接。</t>
        </is>
      </c>
    </row>
    <row r="14" ht="49" customHeight="1">
      <c r="A14" s="27" t="inlineStr">
        <is>
          <t>订单状态自动回复</t>
        </is>
      </c>
      <c r="B14" s="6" t="inlineStr">
        <is>
          <t>待发货 To Ship</t>
        </is>
      </c>
      <c r="C14" s="6" t="inlineStr">
        <is>
          <t>Bahasa Melayu</t>
        </is>
      </c>
      <c r="D14" s="62" t="inlineStr">
        <is>
          <t>Hai, kami sedang menyediakan pesanan anda {订单编号}. Biasanya kami menghantar dalam masa 72 jam dari gudang China, kemudian mengambil masa kira-kira [X] hari untuk sampai. Terima kasih atas kesabaran anda! 😊</t>
        </is>
      </c>
      <c r="E14" s="6" t="inlineStr">
        <is>
          <t>时效以马来实际物流/官方为准；可嵌 {订单编号} 变量与订单/物流详情页链接。</t>
        </is>
      </c>
    </row>
    <row r="15" ht="34" customHeight="1">
      <c r="A15" s="27" t="inlineStr">
        <is>
          <t>订单状态自动回复</t>
        </is>
      </c>
      <c r="B15" s="6" t="inlineStr">
        <is>
          <t>等待收件 Awaiting Pickup</t>
        </is>
      </c>
      <c r="C15" s="6" t="inlineStr">
        <is>
          <t>English</t>
        </is>
      </c>
      <c r="D15" s="6" t="inlineStr">
        <is>
          <t>Hi, your order {订单编号} is packed and waiting for carrier pickup. We'll update the tracking as soon as it's collected. 😊</t>
        </is>
      </c>
      <c r="E15" s="6" t="inlineStr"/>
    </row>
    <row r="16" ht="34" customHeight="1">
      <c r="A16" s="27" t="inlineStr">
        <is>
          <t>订单状态自动回复</t>
        </is>
      </c>
      <c r="B16" s="6" t="inlineStr">
        <is>
          <t>等待收件 Awaiting Pickup</t>
        </is>
      </c>
      <c r="C16" s="6" t="inlineStr">
        <is>
          <t>Bahasa Melayu</t>
        </is>
      </c>
      <c r="D16" s="62" t="inlineStr">
        <is>
          <t>Hai, pesanan anda {订单编号} sudah dibungkus dan menunggu kurier mengambilnya. Kami akan kemas kini penjejakan sebaik sahaja ia diambil. 😊</t>
        </is>
      </c>
      <c r="E16" s="6" t="inlineStr"/>
    </row>
    <row r="17" ht="34" customHeight="1">
      <c r="A17" s="27" t="inlineStr">
        <is>
          <t>订单状态自动回复</t>
        </is>
      </c>
      <c r="B17" s="6" t="inlineStr">
        <is>
          <t>已发货 Shipped</t>
        </is>
      </c>
      <c r="C17" s="6" t="inlineStr">
        <is>
          <t>English</t>
        </is>
      </c>
      <c r="D17" s="6" t="inlineStr">
        <is>
          <t>Good news! Your order {订单编号} has shipped 🚚 Track it here: {物流详情页链接}. Estimated delivery: {预计送达}. Let us know if you have any questions! 😊</t>
        </is>
      </c>
      <c r="E17" s="6" t="inlineStr">
        <is>
          <t>时效以马来实际物流/官方为准；可嵌 {订单编号} 变量与订单/物流详情页链接。</t>
        </is>
      </c>
    </row>
    <row r="18" ht="34" customHeight="1">
      <c r="A18" s="27" t="inlineStr">
        <is>
          <t>订单状态自动回复</t>
        </is>
      </c>
      <c r="B18" s="6" t="inlineStr">
        <is>
          <t>已发货 Shipped</t>
        </is>
      </c>
      <c r="C18" s="6" t="inlineStr">
        <is>
          <t>Bahasa Melayu</t>
        </is>
      </c>
      <c r="D18" s="62" t="inlineStr">
        <is>
          <t>Berita baik! Pesanan anda {订单编号} telah dihantar 🚚 Jejaki di sini: {物流详情页链接}. Anggaran sampai: {预计送达}. Beritahu kami jika ada soalan! 😊</t>
        </is>
      </c>
      <c r="E18" s="6" t="inlineStr">
        <is>
          <t>时效以马来实际物流/官方为准；可嵌 {订单编号} 变量与订单/物流详情页链接。</t>
        </is>
      </c>
    </row>
    <row r="19" ht="49" customHeight="1">
      <c r="A19" s="27" t="inlineStr">
        <is>
          <t>订单状态自动回复</t>
        </is>
      </c>
      <c r="B19" s="6" t="inlineStr">
        <is>
          <t>已送达 Delivered</t>
        </is>
      </c>
      <c r="C19" s="6" t="inlineStr">
        <is>
          <t>English</t>
        </is>
      </c>
      <c r="D19" s="6" t="inlineStr">
        <is>
          <t>Hi, our records show your order {订单编号} has been delivered 📦 Hope you love it! If anything's not right, contact us within [X] days and we'll help. A review would mean a lot! ⭐</t>
        </is>
      </c>
      <c r="E19" s="6" t="inlineStr"/>
    </row>
    <row r="20" ht="49" customHeight="1">
      <c r="A20" s="27" t="inlineStr">
        <is>
          <t>订单状态自动回复</t>
        </is>
      </c>
      <c r="B20" s="6" t="inlineStr">
        <is>
          <t>已送达 Delivered</t>
        </is>
      </c>
      <c r="C20" s="6" t="inlineStr">
        <is>
          <t>Bahasa Melayu</t>
        </is>
      </c>
      <c r="D20" s="62" t="inlineStr">
        <is>
          <t>Hai, rekod kami menunjukkan pesanan {订单编号} telah dihantar 📦 Harap anda sukakannya! Jika ada apa-apa masalah, hubungi kami dalam [X] hari dan kami akan bantu. Ulasan anda amat dihargai! ⭐</t>
        </is>
      </c>
      <c r="E20" s="6" t="inlineStr"/>
    </row>
    <row r="21" ht="49" customHeight="1">
      <c r="A21" s="27" t="inlineStr">
        <is>
          <t>订单状态自动回复</t>
        </is>
      </c>
      <c r="B21" s="6" t="inlineStr">
        <is>
          <t>已完成 Completed</t>
        </is>
      </c>
      <c r="C21" s="6" t="inlineStr">
        <is>
          <t>English</t>
        </is>
      </c>
      <c r="D21" s="6" t="inlineStr">
        <is>
          <t>Thank you for shopping with us! 🥰 We hope you're happy with your purchase. If you have a moment, a 5-star review helps our small shop a lot. See you again!</t>
        </is>
      </c>
      <c r="E21" s="6" t="inlineStr">
        <is>
          <t>可附小额优惠券激励好评+复购。</t>
        </is>
      </c>
    </row>
    <row r="22" ht="49" customHeight="1">
      <c r="A22" s="27" t="inlineStr">
        <is>
          <t>订单状态自动回复</t>
        </is>
      </c>
      <c r="B22" s="6" t="inlineStr">
        <is>
          <t>已完成 Completed</t>
        </is>
      </c>
      <c r="C22" s="6" t="inlineStr">
        <is>
          <t>Bahasa Melayu</t>
        </is>
      </c>
      <c r="D22" s="62" t="inlineStr">
        <is>
          <t>Terima kasih kerana membeli-belah dengan kami! 🥰 Harap anda berpuas hati. Jika ada masa, ulasan 5 bintang amat membantu kedai kecil kami. Jumpa lagi!</t>
        </is>
      </c>
      <c r="E22" s="6" t="inlineStr"/>
    </row>
    <row r="23" ht="34" customHeight="1">
      <c r="A23" s="27" t="inlineStr">
        <is>
          <t>订单状态自动回复</t>
        </is>
      </c>
      <c r="B23" s="6" t="inlineStr">
        <is>
          <t>已取消 Cancelled</t>
        </is>
      </c>
      <c r="C23" s="6" t="inlineStr">
        <is>
          <t>English</t>
        </is>
      </c>
      <c r="D23" s="6" t="inlineStr">
        <is>
          <t>Hi, your order {订单编号} has been cancelled. If this was a mistake or you'd like to reorder, we're happy to help — just let us know! 😊</t>
        </is>
      </c>
      <c r="E23" s="6" t="inlineStr"/>
    </row>
    <row r="24" ht="49" customHeight="1">
      <c r="A24" s="27" t="inlineStr">
        <is>
          <t>订单状态自动回复</t>
        </is>
      </c>
      <c r="B24" s="6" t="inlineStr">
        <is>
          <t>已取消 Cancelled</t>
        </is>
      </c>
      <c r="C24" s="6" t="inlineStr">
        <is>
          <t>Bahasa Melayu</t>
        </is>
      </c>
      <c r="D24" s="62" t="inlineStr">
        <is>
          <t>Hai, pesanan anda {订单编号} telah dibatalkan. Jika ini satu kesilapan atau anda ingin memesan semula, kami sedia membantu — beritahu kami sahaja! 😊</t>
        </is>
      </c>
      <c r="E24" s="6" t="inlineStr"/>
    </row>
    <row r="25" ht="64" customHeight="1">
      <c r="A25" s="27" t="inlineStr">
        <is>
          <t>订单状态自动回复</t>
        </is>
      </c>
      <c r="B25" s="6" t="inlineStr">
        <is>
          <t>退货/退款 Return/Refund</t>
        </is>
      </c>
      <c r="C25" s="6" t="inlineStr">
        <is>
          <t>English</t>
        </is>
      </c>
      <c r="D25" s="6" t="inlineStr">
        <is>
          <t>We're sorry there's an issue with order {订单编号} 🙏 Could you share a photo/short video of the problem? We'll resolve it quickly — refund, replacement or partial refund, whichever you prefer. Your satisfaction matters to us.</t>
        </is>
      </c>
      <c r="E25" s="6" t="inlineStr">
        <is>
          <t>先稳情绪→引导私信→给补偿方案。</t>
        </is>
      </c>
    </row>
    <row r="26" ht="64" customHeight="1">
      <c r="A26" s="27" t="inlineStr">
        <is>
          <t>订单状态自动回复</t>
        </is>
      </c>
      <c r="B26" s="6" t="inlineStr">
        <is>
          <t>退货/退款 Return/Refund</t>
        </is>
      </c>
      <c r="C26" s="6" t="inlineStr">
        <is>
          <t>Bahasa Melayu</t>
        </is>
      </c>
      <c r="D26" s="62" t="inlineStr">
        <is>
          <t>Kami minta maaf atas masalah dengan pesanan {订单编号} 🙏 Boleh anda kongsikan gambar/video pendek masalah itu? Kami akan selesaikan dengan cepat — bayaran balik, gantian atau bayaran balik separa, ikut pilihan anda. Kepuasan anda penting bagi kami.</t>
        </is>
      </c>
      <c r="E26" s="6" t="inlineStr"/>
    </row>
    <row r="27" ht="49" customHeight="1">
      <c r="A27" s="5" t="inlineStr">
        <is>
          <t>常见问题 FAQ</t>
        </is>
      </c>
      <c r="B27" s="6" t="inlineStr">
        <is>
          <t>物流时效</t>
        </is>
      </c>
      <c r="C27" s="6" t="inlineStr">
        <is>
          <t>English</t>
        </is>
      </c>
      <c r="D27" s="6" t="inlineStr">
        <is>
          <t>Orders ship from our China warehouse, usually within 72 hours, and typically arrive in about [X] calendar days. You'll get a tracking number once shipped. 😊</t>
        </is>
      </c>
      <c r="E27" s="6" t="inlineStr">
        <is>
          <t>时效以马来实际物流/官方为准；可嵌 {订单编号} 变量与订单/物流详情页链接。</t>
        </is>
      </c>
    </row>
    <row r="28" ht="49" customHeight="1">
      <c r="A28" s="27" t="inlineStr">
        <is>
          <t>常见问题 FAQ</t>
        </is>
      </c>
      <c r="B28" s="6" t="inlineStr">
        <is>
          <t>物流时效</t>
        </is>
      </c>
      <c r="C28" s="6" t="inlineStr">
        <is>
          <t>Bahasa Melayu</t>
        </is>
      </c>
      <c r="D28" s="62" t="inlineStr">
        <is>
          <t>Pesanan dihantar dari gudang China kami, biasanya dalam 72 jam, dan kebiasaannya sampai dalam kira-kira [X] hari. Anda akan menerima nombor penjejakan selepas dihantar. 😊</t>
        </is>
      </c>
      <c r="E28" s="6" t="inlineStr">
        <is>
          <t>时效以马来实际物流/官方为准；可嵌 {订单编号} 变量与订单/物流详情页链接。</t>
        </is>
      </c>
    </row>
    <row r="29" ht="34" customHeight="1">
      <c r="A29" s="27" t="inlineStr">
        <is>
          <t>常见问题 FAQ</t>
        </is>
      </c>
      <c r="B29" s="6" t="inlineStr">
        <is>
          <t>尺码 Size</t>
        </is>
      </c>
      <c r="C29" s="6" t="inlineStr">
        <is>
          <t>English</t>
        </is>
      </c>
      <c r="D29" s="6" t="inlineStr">
        <is>
          <t>Please check the size chart on the product page. If you tell me your height / weight / usual size, I'll recommend the best fit. 😊</t>
        </is>
      </c>
      <c r="E29" s="6" t="inlineStr">
        <is>
          <t>退货多因尺码→上架前写清尺码表。</t>
        </is>
      </c>
    </row>
    <row r="30" ht="49" customHeight="1">
      <c r="A30" s="27" t="inlineStr">
        <is>
          <t>常见问题 FAQ</t>
        </is>
      </c>
      <c r="B30" s="6" t="inlineStr">
        <is>
          <t>尺码 Size</t>
        </is>
      </c>
      <c r="C30" s="6" t="inlineStr">
        <is>
          <t>Bahasa Melayu</t>
        </is>
      </c>
      <c r="D30" s="62" t="inlineStr">
        <is>
          <t>Sila rujuk carta saiz di halaman produk. Jika anda beritahu tinggi / berat / saiz biasa anda, saya boleh cadangkan saiz yang paling sesuai. 😊</t>
        </is>
      </c>
      <c r="E30" s="6" t="inlineStr"/>
    </row>
    <row r="31" ht="34" customHeight="1">
      <c r="A31" s="27" t="inlineStr">
        <is>
          <t>常见问题 FAQ</t>
        </is>
      </c>
      <c r="B31" s="6" t="inlineStr">
        <is>
          <t>材质 Material</t>
        </is>
      </c>
      <c r="C31" s="6" t="inlineStr">
        <is>
          <t>English</t>
        </is>
      </c>
      <c r="D31" s="6" t="inlineStr">
        <is>
          <t>The material is [材质], as listed in the product details. Please note colours may vary slightly due to lighting and screens. 😊</t>
        </is>
      </c>
      <c r="E31" s="6" t="inlineStr"/>
    </row>
    <row r="32" ht="34" customHeight="1">
      <c r="A32" s="27" t="inlineStr">
        <is>
          <t>常见问题 FAQ</t>
        </is>
      </c>
      <c r="B32" s="6" t="inlineStr">
        <is>
          <t>材质 Material</t>
        </is>
      </c>
      <c r="C32" s="6" t="inlineStr">
        <is>
          <t>Bahasa Melayu</t>
        </is>
      </c>
      <c r="D32" s="62" t="inlineStr">
        <is>
          <t>Bahannya ialah [材质], seperti tertera di butiran produk. Sila ambil maklum warna mungkin berbeza sedikit kerana pencahayaan dan skrin. 😊</t>
        </is>
      </c>
      <c r="E32" s="6" t="inlineStr"/>
    </row>
    <row r="33" ht="49" customHeight="1">
      <c r="A33" s="27" t="inlineStr">
        <is>
          <t>常见问题 FAQ</t>
        </is>
      </c>
      <c r="B33" s="6" t="inlineStr">
        <is>
          <t>退换货 Return/Exchange</t>
        </is>
      </c>
      <c r="C33" s="6" t="inlineStr">
        <is>
          <t>English</t>
        </is>
      </c>
      <c r="D33" s="6" t="inlineStr">
        <is>
          <t>Yes — if the item has a quality issue or doesn't match the description, contact us within [X] days with a photo/video and we'll arrange a return, exchange or refund. 🙏</t>
        </is>
      </c>
      <c r="E33" s="6" t="inlineStr">
        <is>
          <t>退换政策以官方+本店为准。</t>
        </is>
      </c>
    </row>
    <row r="34" ht="49" customHeight="1">
      <c r="A34" s="27" t="inlineStr">
        <is>
          <t>常见问题 FAQ</t>
        </is>
      </c>
      <c r="B34" s="6" t="inlineStr">
        <is>
          <t>退换货 Return/Exchange</t>
        </is>
      </c>
      <c r="C34" s="6" t="inlineStr">
        <is>
          <t>Bahasa Melayu</t>
        </is>
      </c>
      <c r="D34" s="62" t="inlineStr">
        <is>
          <t>Boleh — jika produk ada masalah kualiti atau tidak sepadan dengan penerangan, hubungi kami dalam [X] hari dengan gambar/video dan kami akan uruskan pemulangan, pertukaran atau bayaran balik. 🙏</t>
        </is>
      </c>
      <c r="E34" s="6" t="inlineStr"/>
    </row>
    <row r="35" ht="34" customHeight="1">
      <c r="A35" s="27" t="inlineStr">
        <is>
          <t>常见问题 FAQ</t>
        </is>
      </c>
      <c r="B35" s="6" t="inlineStr">
        <is>
          <t>优惠券 Voucher</t>
        </is>
      </c>
      <c r="C35" s="6" t="inlineStr">
        <is>
          <t>English</t>
        </is>
      </c>
      <c r="D35" s="6" t="inlineStr">
        <is>
          <t>Let me check for you. 😊 We often have new-customer vouchers and bundle deals — tap 'Vouchers' on our shop page, or buy [X]+ to save more!</t>
        </is>
      </c>
      <c r="E35" s="6" t="inlineStr"/>
    </row>
    <row r="36" ht="49" customHeight="1">
      <c r="A36" s="27" t="inlineStr">
        <is>
          <t>常见问题 FAQ</t>
        </is>
      </c>
      <c r="B36" s="6" t="inlineStr">
        <is>
          <t>优惠券 Voucher</t>
        </is>
      </c>
      <c r="C36" s="6" t="inlineStr">
        <is>
          <t>Bahasa Melayu</t>
        </is>
      </c>
      <c r="D36" s="62" t="inlineStr">
        <is>
          <t>Biar saya semakkan untuk anda. 😊 Kami selalu ada baucar pelanggan baharu dan tawaran pakej — klik 'Baucar' di halaman kedai, atau beli [X]+ untuk jimat lebih!</t>
        </is>
      </c>
      <c r="E36" s="6" t="inlineStr"/>
    </row>
    <row r="37" ht="26" customHeight="1">
      <c r="A37" s="27" t="inlineStr">
        <is>
          <t>常见问题 FAQ</t>
        </is>
      </c>
      <c r="B37" s="6" t="inlineStr">
        <is>
          <t>赠品 Free gift</t>
        </is>
      </c>
      <c r="C37" s="6" t="inlineStr">
        <is>
          <t>English</t>
        </is>
      </c>
      <c r="D37" s="6" t="inlineStr">
        <is>
          <t>Let me look into this for you. 😊</t>
        </is>
      </c>
      <c r="E37" s="6" t="inlineStr">
        <is>
          <t>平台预设保通用性话术。</t>
        </is>
      </c>
    </row>
    <row r="38" ht="26" customHeight="1">
      <c r="A38" s="27" t="inlineStr">
        <is>
          <t>常见问题 FAQ</t>
        </is>
      </c>
      <c r="B38" s="6" t="inlineStr">
        <is>
          <t>赠品 Free gift</t>
        </is>
      </c>
      <c r="C38" s="6" t="inlineStr">
        <is>
          <t>Bahasa Melayu</t>
        </is>
      </c>
      <c r="D38" s="62" t="inlineStr">
        <is>
          <t>Biar saya semak dahulu untuk anda. 😊</t>
        </is>
      </c>
      <c r="E38" s="6" t="inlineStr"/>
    </row>
    <row r="39" ht="49" customHeight="1">
      <c r="A39" s="27" t="inlineStr">
        <is>
          <t>常见问题 FAQ</t>
        </is>
      </c>
      <c r="B39" s="6" t="inlineStr">
        <is>
          <t>发票 Invoice</t>
        </is>
      </c>
      <c r="C39" s="6" t="inlineStr">
        <is>
          <t>English</t>
        </is>
      </c>
      <c r="D39" s="6" t="inlineStr">
        <is>
          <t>Platform invoices are issued by TikTok Shop. You can view/download them from your order or the Help Center. If you need shop details, let me know. 😊</t>
        </is>
      </c>
      <c r="E39" s="6" t="inlineStr">
        <is>
          <t>发票主体如 TikTok Shop (Malaysia) Sdn. Bhd.</t>
        </is>
      </c>
    </row>
    <row r="40" ht="49" customHeight="1">
      <c r="A40" s="27" t="inlineStr">
        <is>
          <t>常见问题 FAQ</t>
        </is>
      </c>
      <c r="B40" s="6" t="inlineStr">
        <is>
          <t>发票 Invoice</t>
        </is>
      </c>
      <c r="C40" s="6" t="inlineStr">
        <is>
          <t>Bahasa Melayu</t>
        </is>
      </c>
      <c r="D40" s="62" t="inlineStr">
        <is>
          <t>Invois platform dikeluarkan oleh TikTok Shop. Anda boleh lihat/muat turun dari pesanan anda atau Pusat Bantuan. Jika perlukan butiran kedai, beritahu saya. 😊</t>
        </is>
      </c>
      <c r="E40" s="6" t="inlineStr"/>
    </row>
    <row r="41" ht="49" customHeight="1">
      <c r="A41" s="27" t="inlineStr">
        <is>
          <t>常见问题 FAQ</t>
        </is>
      </c>
      <c r="B41" s="6" t="inlineStr">
        <is>
          <t>未收到货</t>
        </is>
      </c>
      <c r="C41" s="6" t="inlineStr">
        <is>
          <t>English</t>
        </is>
      </c>
      <c r="D41" s="6" t="inlineStr">
        <is>
          <t>I'm sorry for the wait 🙏 Let me check the latest tracking for order {订单编号} right away and get back to you. If it's delayed beyond the estimate, we'll make it right.</t>
        </is>
      </c>
      <c r="E41" s="6" t="inlineStr"/>
    </row>
    <row r="42" ht="49" customHeight="1">
      <c r="A42" s="27" t="inlineStr">
        <is>
          <t>常见问题 FAQ</t>
        </is>
      </c>
      <c r="B42" s="6" t="inlineStr">
        <is>
          <t>未收到货</t>
        </is>
      </c>
      <c r="C42" s="6" t="inlineStr">
        <is>
          <t>Bahasa Melayu</t>
        </is>
      </c>
      <c r="D42" s="62" t="inlineStr">
        <is>
          <t>Maaf atas penantian 🙏 Biar saya semak penjejakan terkini untuk pesanan {订单编号} sekarang dan maklumkan anda. Jika lewat melebihi anggaran, kami akan betulkan keadaan.</t>
        </is>
      </c>
      <c r="E42" s="6" t="inlineStr"/>
    </row>
    <row r="43" ht="49" customHeight="1">
      <c r="A43" s="27" t="inlineStr">
        <is>
          <t>常见问题 FAQ</t>
        </is>
      </c>
      <c r="B43" s="6" t="inlineStr">
        <is>
          <t>差评应对</t>
        </is>
      </c>
      <c r="C43" s="6" t="inlineStr">
        <is>
          <t>English</t>
        </is>
      </c>
      <c r="D43" s="6" t="inlineStr">
        <is>
          <t>I'm really sorry about your experience 🙏 I'd like to make this right — may I offer a [partial refund / replacement / voucher]? Could we continue in chat so I can help you directly?</t>
        </is>
      </c>
      <c r="E43" s="6" t="inlineStr">
        <is>
          <t>24h内公开回复→引导私信→给补偿→协商改评。</t>
        </is>
      </c>
    </row>
    <row r="44" ht="49" customHeight="1">
      <c r="A44" s="27" t="inlineStr">
        <is>
          <t>常见问题 FAQ</t>
        </is>
      </c>
      <c r="B44" s="6" t="inlineStr">
        <is>
          <t>差评应对</t>
        </is>
      </c>
      <c r="C44" s="6" t="inlineStr">
        <is>
          <t>Bahasa Melayu</t>
        </is>
      </c>
      <c r="D44" s="62" t="inlineStr">
        <is>
          <t>Saya betul-betul minta maaf atas pengalaman anda 🙏 Saya ingin perbetulkannya — boleh saya tawarkan [bayaran balik separa / gantian / baucar]? Boleh kita teruskan dalam chat supaya saya boleh bantu terus?</t>
        </is>
      </c>
      <c r="E44" s="6" t="inlineStr"/>
    </row>
    <row r="45" ht="26" customHeight="1">
      <c r="A45" s="5" t="inlineStr">
        <is>
          <t>时效红线·设置</t>
        </is>
      </c>
      <c r="B45" s="6" t="inlineStr">
        <is>
          <t>24 小时响应率</t>
        </is>
      </c>
      <c r="C45" s="6" t="inlineStr">
        <is>
          <t>说明</t>
        </is>
      </c>
      <c r="D45" s="6" t="inlineStr">
        <is>
          <t>过去 7 天口径：24h 内被回复的咨询会话 ÷ 咨询会话总数。计入店铺评分『客户服务』维度。</t>
        </is>
      </c>
      <c r="E45" s="4" t="inlineStr">
        <is>
          <t>以官方后台为准 ｜ 核对日期：____</t>
        </is>
      </c>
    </row>
    <row r="46" ht="34" customHeight="1">
      <c r="A46" s="27" t="inlineStr">
        <is>
          <t>时效红线·设置</t>
        </is>
      </c>
      <c r="B46" s="6" t="inlineStr">
        <is>
          <t>48 小时超时</t>
        </is>
      </c>
      <c r="C46" s="6" t="inlineStr">
        <is>
          <t>说明</t>
        </is>
      </c>
      <c r="D46" s="6" t="inlineStr">
        <is>
          <t>客服超 48 小时未回复 → 会话超时自动关闭。</t>
        </is>
      </c>
      <c r="E46" s="4" t="inlineStr">
        <is>
          <t>以官方后台为准 ｜ 核对日期：____</t>
        </is>
      </c>
    </row>
    <row r="47" ht="34" customHeight="1">
      <c r="A47" s="27" t="inlineStr">
        <is>
          <t>时效红线·设置</t>
        </is>
      </c>
      <c r="B47" s="6" t="inlineStr">
        <is>
          <t>20 小时『即将过期』</t>
        </is>
      </c>
      <c r="C47" s="6" t="inlineStr">
        <is>
          <t>说明</t>
        </is>
      </c>
      <c r="D47" s="6" t="inlineStr">
        <is>
          <t>超 20 小时未回复 → 收件箱标『即将过期』。请优先处理。</t>
        </is>
      </c>
      <c r="E47" s="4" t="inlineStr">
        <is>
          <t>以官方后台为准 ｜ 核对日期：____</t>
        </is>
      </c>
    </row>
    <row r="48" ht="26" customHeight="1">
      <c r="A48" s="27" t="inlineStr">
        <is>
          <t>时效红线·设置</t>
        </is>
      </c>
      <c r="B48" s="6" t="inlineStr">
        <is>
          <t>30 天历史会话</t>
        </is>
      </c>
      <c r="C48" s="6" t="inlineStr">
        <is>
          <t>说明</t>
        </is>
      </c>
      <c r="D48" s="6" t="inlineStr">
        <is>
          <t>历史会话 30 天后不可再回复。</t>
        </is>
      </c>
      <c r="E48" s="4" t="inlineStr">
        <is>
          <t>以官方后台为准 ｜ 核对日期：____</t>
        </is>
      </c>
    </row>
    <row r="49" ht="26" customHeight="1">
      <c r="A49" s="27" t="inlineStr">
        <is>
          <t>时效红线·设置</t>
        </is>
      </c>
      <c r="B49" s="6" t="inlineStr">
        <is>
          <t>可联系买家</t>
        </is>
      </c>
      <c r="C49" s="6" t="inlineStr">
        <is>
          <t>说明</t>
        </is>
      </c>
      <c r="D49" s="6" t="inlineStr">
        <is>
          <t>订单创建 60 天内 或 有进行中逆向(退款/退货)单的买家可联系。</t>
        </is>
      </c>
      <c r="E49" s="4" t="inlineStr">
        <is>
          <t>以官方后台为准 ｜ 核对日期：____</t>
        </is>
      </c>
    </row>
    <row r="50" ht="26" customHeight="1">
      <c r="A50" s="27" t="inlineStr">
        <is>
          <t>时效红线·设置</t>
        </is>
      </c>
      <c r="B50" s="6" t="inlineStr">
        <is>
          <t>店铺评分展示门槛</t>
        </is>
      </c>
      <c r="C50" s="6" t="inlineStr">
        <is>
          <t>说明</t>
        </is>
      </c>
      <c r="D50" s="6" t="inlineStr">
        <is>
          <t>基于过去 90 天表现、每日更新；需 ≥30 已交付单且无欺诈单才展示店铺体验分(0–5)。</t>
        </is>
      </c>
      <c r="E50" s="4" t="inlineStr">
        <is>
          <t>以官方后台为准 ｜ 核对日期：____</t>
        </is>
      </c>
    </row>
    <row r="51" ht="34" customHeight="1">
      <c r="A51" s="27" t="inlineStr">
        <is>
          <t>时效红线·设置</t>
        </is>
      </c>
      <c r="B51" s="6" t="inlineStr">
        <is>
          <t>跨境客服必做</t>
        </is>
      </c>
      <c r="C51" s="6" t="inlineStr">
        <is>
          <t>说明</t>
        </is>
      </c>
      <c r="D51" s="6" t="inlineStr">
        <is>
          <t>① 开实时翻译(Volctrans/火山翻译)、中文输入避免简称口头禅；② 按 8 个订单状态配好自动回复(尤其待支付/待发货/已发货)；③ 问候语+FAQ卡片嵌 {订单编号} 变量与订单/物流详情页链接。</t>
        </is>
      </c>
      <c r="E51" s="4" t="inlineStr">
        <is>
          <t>以官方后台为准 ｜ 核对日期：____</t>
        </is>
      </c>
    </row>
    <row r="52" ht="34" customHeight="1">
      <c r="A52" s="27" t="inlineStr">
        <is>
          <t>时效红线·设置</t>
        </is>
      </c>
      <c r="B52" s="6" t="inlineStr">
        <is>
          <t>FAQ 卡片参数</t>
        </is>
      </c>
      <c r="C52" s="6" t="inlineStr">
        <is>
          <t>说明</t>
        </is>
      </c>
      <c r="D52" s="6" t="inlineStr">
        <is>
          <t>FAQ 卡片最多挑 5 条；问题 ≤100 字符、相似问题 ≤20 个、回复 ≤1000 字符、图 ≤4 张(≤5MB,&gt;100×100px)。仅主账号/总管理员可设置。</t>
        </is>
      </c>
      <c r="E52" s="4" t="inlineStr">
        <is>
          <t>以官方后台为准 ｜ 核对日期：____</t>
        </is>
      </c>
    </row>
    <row r="53" ht="26" customHeight="1">
      <c r="A53" s="27" t="inlineStr">
        <is>
          <t>时效红线·设置</t>
        </is>
      </c>
      <c r="B53" s="6" t="inlineStr">
        <is>
          <t>预设回复改写提醒</t>
        </is>
      </c>
      <c r="C53" s="6" t="inlineStr">
        <is>
          <t>说明</t>
        </is>
      </c>
      <c r="D53" s="6" t="inlineStr">
        <is>
          <t>平台预设回复偏通用，务必按本店真实订单/物流情况改写，提高解决率与 24h 响应表现。</t>
        </is>
      </c>
      <c r="E53" s="4" t="inlineStr">
        <is>
          <t>以官方后台为准 ｜ 核对日期：____</t>
        </is>
      </c>
    </row>
    <row r="54" ht="64" customHeight="1">
      <c r="A54" s="5" t="inlineStr">
        <is>
          <t>履约时效红线·发货</t>
        </is>
      </c>
      <c r="B54" s="6" t="inlineStr">
        <is>
          <t>自发货时效 ≤120h</t>
        </is>
      </c>
      <c r="C54" s="6" t="inlineStr">
        <is>
          <t>说明</t>
        </is>
      </c>
      <c r="D54" s="6" t="inlineStr">
        <is>
          <t>商家自发货：用户支付成功 → 物流商回传入库 + 后台显示已发货 ≤ 120 小时(5天)；即最迟第 4 天送到中转仓，留物流商 24h 扫描。超时扣分 → 限单。</t>
        </is>
      </c>
      <c r="E54" s="4" t="inlineStr">
        <is>
          <t>以官方后台为准 ｜ 核对日期：____</t>
        </is>
      </c>
    </row>
    <row r="55" ht="26" customHeight="1">
      <c r="A55" s="27" t="inlineStr">
        <is>
          <t>履约时效红线·发货</t>
        </is>
      </c>
      <c r="B55" s="6" t="inlineStr">
        <is>
          <t>揽收商家 48h</t>
        </is>
      </c>
      <c r="C55" s="6" t="inlineStr">
        <is>
          <t>说明</t>
        </is>
      </c>
      <c r="D55" s="6" t="inlineStr">
        <is>
          <t>揽收方式：用户支付成功后 48 小时内点击发货，且物流商首次上门即成功揽收（两条件须同时满足）。</t>
        </is>
      </c>
      <c r="E55" s="4" t="inlineStr">
        <is>
          <t>以官方后台为准 ｜ 核对日期：____</t>
        </is>
      </c>
    </row>
    <row r="56" ht="26" customHeight="1">
      <c r="A56" s="27" t="inlineStr">
        <is>
          <t>履约时效红线·发货</t>
        </is>
      </c>
      <c r="B56" s="6" t="inlineStr">
        <is>
          <t>96h 入库</t>
        </is>
      </c>
      <c r="C56" s="6" t="inlineStr">
        <is>
          <t>说明</t>
        </is>
      </c>
      <c r="D56" s="6" t="inlineStr">
        <is>
          <t>商品须 96 小时内送达中转仓/货代仓入库，超时罚款扣分（培训口径，以服务商/官方时效为准）。</t>
        </is>
      </c>
      <c r="E56" s="4" t="inlineStr">
        <is>
          <t>以官方后台为准 ｜ 核对日期：____</t>
        </is>
      </c>
    </row>
    <row r="57" ht="26" customHeight="1">
      <c r="A57" s="27" t="inlineStr">
        <is>
          <t>履约时效红线·发货</t>
        </is>
      </c>
      <c r="B57" s="6" t="inlineStr">
        <is>
          <t>挂钩店铺评分</t>
        </is>
      </c>
      <c r="C57" s="6" t="inlineStr">
        <is>
          <t>说明</t>
        </is>
      </c>
      <c r="D57" s="6" t="inlineStr">
        <is>
          <t>30 天商责取消率、30 天迟发货率计入店铺评分『履约与物流』维度 —— 跨境发货时效是其直接来源。</t>
        </is>
      </c>
      <c r="E57" s="4" t="inlineStr">
        <is>
          <t>以官方后台为准 ｜ 核对日期：____</t>
        </is>
      </c>
    </row>
    <row r="58" ht="26" customHeight="1">
      <c r="A58" s="27" t="inlineStr">
        <is>
          <t>履约时效红线·发货</t>
        </is>
      </c>
      <c r="B58" s="6" t="inlineStr">
        <is>
          <t>物流方案</t>
        </is>
      </c>
      <c r="C58" s="6" t="inlineStr">
        <is>
          <t>说明</t>
        </is>
      </c>
      <c r="D58" s="6" t="inlineStr">
        <is>
          <t>平台四方案：FBT 官方仓 / 3PL 对接仓 / 4PL 尾程配 / 跨境直邮；以后台『物流/履约』当前可选方案为准。</t>
        </is>
      </c>
      <c r="E58" s="4" t="inlineStr">
        <is>
          <t>以官方后台为准 ｜ 核对日期：____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2026-06-22T15:08:09Z</dcterms:created>
  <dcterms:modified xmlns:dcterms="http://purl.org/dc/terms/" xmlns:xsi="http://www.w3.org/2001/XMLSchema-instance" xsi:type="dcterms:W3CDTF">2026-06-22T15:08:10Z</dcterms:modified>
</cp:coreProperties>
</file>